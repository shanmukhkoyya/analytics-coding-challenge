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Check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nergy consumption patterns" sheetId="4" state="visible" r:id="rId4"/>
    <sheet xmlns:r="http://schemas.openxmlformats.org/officeDocument/2006/relationships" name="types of households consume the" sheetId="5" state="visible" r:id="rId5"/>
    <sheet xmlns:r="http://schemas.openxmlformats.org/officeDocument/2006/relationships" name="energy-saving measures" sheetId="6" state="visible" r:id="rId6"/>
    <sheet xmlns:r="http://schemas.openxmlformats.org/officeDocument/2006/relationships" name="Household Energy Consumption Da" sheetId="7" state="visible" r:id="rId7"/>
  </sheets>
  <definedNames>
    <definedName name="_xlnm._FilterDatabase" localSheetId="0" hidden="1">'Raw_Data'!$A$1:$H$251</definedName>
  </definedNames>
  <calcPr calcId="191029" calcMode="auto" fullCalcOnLoad="1" forceFullCalc="1"/>
  <pivotCaches>
    <pivotCache xmlns:r="http://schemas.openxmlformats.org/officeDocument/2006/relationships" cacheId="3" r:id="rId8"/>
    <pivotCache xmlns:r="http://schemas.openxmlformats.org/officeDocument/2006/relationships" cacheId="6" r:id="rId9"/>
  </pivotCaches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6"/>
      <scheme val="minor"/>
    </font>
    <font>
      <b val="1"/>
      <color rgb="00FFFFFF"/>
    </font>
    <font>
      <b val="1"/>
    </font>
    <font>
      <b val="1"/>
      <color rgb="00FFFFFF"/>
      <sz val="16"/>
    </font>
    <font>
      <name val="Calibri"/>
      <color rgb="00000000"/>
      <sz val="11"/>
    </font>
    <font>
      <b val="1"/>
      <color rgb="00FFFFFF"/>
      <sz val="20"/>
    </font>
    <font>
      <b val="1"/>
      <color rgb="00FFFFFF"/>
      <sz val="10"/>
    </font>
    <font>
      <b val="1"/>
      <color rgb="001F4E78"/>
      <sz val="18"/>
    </font>
    <font>
      <b val="1"/>
      <color rgb="00FFFFFF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AF3F8"/>
      </patternFill>
    </fill>
    <fill>
      <patternFill patternType="solid">
        <fgColor rgb="00F2F7FA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B7C9D6"/>
      </bottom>
    </border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9"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vertical="center"/>
    </xf>
    <xf numFmtId="0" fontId="0" fillId="0" borderId="10" applyAlignment="1" pivotButton="0" quotePrefix="0" xfId="0">
      <alignment horizontal="right" vertical="center" wrapText="1"/>
    </xf>
    <xf numFmtId="4" fontId="0" fillId="0" borderId="10" applyAlignment="1" pivotButton="0" quotePrefix="0" xfId="0">
      <alignment horizontal="right" vertical="center" wrapText="1"/>
    </xf>
    <xf numFmtId="3" fontId="0" fillId="0" borderId="10" applyAlignment="1" pivotButton="0" quotePrefix="0" xfId="0">
      <alignment horizontal="right" vertical="center" wrapText="1"/>
    </xf>
    <xf numFmtId="0" fontId="0" fillId="0" borderId="0" pivotButton="1" quotePrefix="0" xfId="0"/>
    <xf numFmtId="0" fontId="18" fillId="0" borderId="0" pivotButton="0" quotePrefix="0" xfId="0"/>
    <xf numFmtId="0" fontId="18" fillId="0" borderId="0" applyAlignment="1" pivotButton="0" quotePrefix="0" xfId="0">
      <alignment horizontal="left"/>
    </xf>
    <xf numFmtId="0" fontId="0" fillId="0" borderId="0" pivotButton="0" quotePrefix="0" xfId="0"/>
    <xf numFmtId="0" fontId="18" fillId="0" borderId="0" applyAlignment="1" pivotButton="0" quotePrefix="0" xfId="0">
      <alignment horizontal="left" vertical="top"/>
    </xf>
    <xf numFmtId="0" fontId="16" fillId="0" borderId="0" pivotButton="0" quotePrefix="0" xfId="0"/>
    <xf numFmtId="0" fontId="19" fillId="33" borderId="11" applyAlignment="1" pivotButton="0" quotePrefix="0" xfId="0">
      <alignment horizontal="center" vertical="center"/>
    </xf>
    <xf numFmtId="0" fontId="0" fillId="34" borderId="0" pivotButton="0" quotePrefix="0" xfId="0"/>
    <xf numFmtId="164" fontId="0" fillId="34" borderId="0" pivotButton="0" quotePrefix="0" xfId="0"/>
    <xf numFmtId="2" fontId="0" fillId="34" borderId="0" pivotButton="0" quotePrefix="0" xfId="0"/>
    <xf numFmtId="1" fontId="0" fillId="34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19" fillId="33" borderId="10" applyAlignment="1" pivotButton="0" quotePrefix="0" xfId="0">
      <alignment horizontal="center" vertical="center" wrapText="1"/>
    </xf>
    <xf numFmtId="0" fontId="20" fillId="35" borderId="1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 wrapText="1"/>
    </xf>
    <xf numFmtId="2" fontId="16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165" fontId="0" fillId="0" borderId="10" applyAlignment="1" pivotButton="0" quotePrefix="0" xfId="0">
      <alignment horizontal="right" vertical="center" wrapText="1"/>
    </xf>
    <xf numFmtId="2" fontId="0" fillId="0" borderId="1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/>
    </xf>
    <xf numFmtId="0" fontId="20" fillId="0" borderId="0" pivotButton="0" quotePrefix="0" xfId="0"/>
    <xf numFmtId="0" fontId="0" fillId="36" borderId="0" applyAlignment="1" pivotButton="0" quotePrefix="0" xfId="0">
      <alignment horizontal="left"/>
    </xf>
    <xf numFmtId="2" fontId="0" fillId="36" borderId="0" pivotButton="0" quotePrefix="0" xfId="0"/>
    <xf numFmtId="0" fontId="19" fillId="33" borderId="0" applyAlignment="1" pivotButton="0" quotePrefix="0" xfId="0">
      <alignment horizontal="center"/>
    </xf>
    <xf numFmtId="2" fontId="19" fillId="33" borderId="0" applyAlignment="1" pivotButton="0" quotePrefix="0" xfId="0">
      <alignment horizontal="center"/>
    </xf>
    <xf numFmtId="0" fontId="21" fillId="3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9" fillId="33" borderId="0" applyAlignment="1" pivotButton="0" quotePrefix="0" xfId="0">
      <alignment vertical="top" wrapText="1"/>
    </xf>
    <xf numFmtId="0" fontId="23" fillId="33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vertical="center"/>
    </xf>
    <xf numFmtId="0" fontId="24" fillId="37" borderId="13" applyAlignment="1" pivotButton="0" quotePrefix="0" xfId="0">
      <alignment horizontal="center" vertical="center"/>
    </xf>
    <xf numFmtId="0" fontId="0" fillId="0" borderId="13" pivotButton="0" quotePrefix="0" xfId="0"/>
    <xf numFmtId="1" fontId="25" fillId="38" borderId="13" applyAlignment="1" pivotButton="0" quotePrefix="0" xfId="0">
      <alignment horizontal="center" vertical="center"/>
    </xf>
    <xf numFmtId="2" fontId="25" fillId="38" borderId="13" applyAlignment="1" pivotButton="0" quotePrefix="0" xfId="0">
      <alignment horizontal="center" vertical="center"/>
    </xf>
    <xf numFmtId="164" fontId="25" fillId="38" borderId="13" applyAlignment="1" pivotButton="0" quotePrefix="0" xfId="0">
      <alignment horizontal="center" vertical="center"/>
    </xf>
    <xf numFmtId="0" fontId="26" fillId="33" borderId="0" pivotButton="0" quotePrefix="0" xfId="0"/>
    <xf numFmtId="0" fontId="0" fillId="39" borderId="0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4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 wrapText="1"/>
    </dxf>
    <dxf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pivotCacheDefinition" Target="/xl/pivotCache/pivotCacheDefinition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pivotSource>
    <name>[Day-02-Household_Energy_Analysis.xlsx]types of households consume the!PivotTable3</name>
    <fmtId val="8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Electricity Usage by Family Size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8976905284099762"/>
          <y val="0.2843232954659293"/>
          <w val="0.7547005596903127"/>
          <h val="0.4922782552944241"/>
        </manualLayout>
      </layout>
      <barChart>
        <barDir val="col"/>
        <grouping val="clustered"/>
        <varyColors val="0"/>
        <ser>
          <idx val="0"/>
          <order val="0"/>
          <tx>
            <strRef>
              <f>'types of households consume the'!$B$3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'types of households consume the'!$A$4:$A$11</f>
              <strCache>
                <ptCount val="7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strCache>
            </strRef>
          </cat>
          <val>
            <numRef>
              <f>'types of households consume the'!$B$4:$B$11</f>
              <numCache>
                <formatCode>General</formatCode>
                <ptCount val="7"/>
                <pt idx="0">
                  <v>283.1944444444445</v>
                </pt>
                <pt idx="1">
                  <v>309.2333333333333</v>
                </pt>
                <pt idx="2">
                  <v>330.625</v>
                </pt>
                <pt idx="3">
                  <v>277.4444444444445</v>
                </pt>
                <pt idx="4">
                  <v>316.25</v>
                </pt>
                <pt idx="5">
                  <v>296.2352941176471</v>
                </pt>
                <pt idx="6">
                  <v>307.4634146341463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42762511"/>
        <axId val="1146614159"/>
      </barChart>
      <catAx>
        <axId val="12427625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46614159"/>
        <crosses val="autoZero"/>
        <auto val="1"/>
        <lblAlgn val="ctr"/>
        <lblOffset val="100"/>
        <noMultiLvlLbl val="0"/>
      </catAx>
      <valAx>
        <axId val="1146614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4276251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[Day-02-Household_Energy_Analysis.xlsx]types of households consume the!PivotTable4</name>
    <fmtId val="14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Electricity Usage by Appliance Count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'types of households consume the'!$F$3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'types of households consume the'!$E$4:$E$17</f>
              <strCache>
                <ptCount val="13"/>
                <pt idx="0">
                  <v>2</v>
                </pt>
                <pt idx="1">
                  <v>3</v>
                </pt>
                <pt idx="2">
                  <v>4</v>
                </pt>
                <pt idx="3">
                  <v>5</v>
                </pt>
                <pt idx="4">
                  <v>6</v>
                </pt>
                <pt idx="5">
                  <v>7</v>
                </pt>
                <pt idx="6">
                  <v>8</v>
                </pt>
                <pt idx="7">
                  <v>9</v>
                </pt>
                <pt idx="8">
                  <v>10</v>
                </pt>
                <pt idx="9">
                  <v>11</v>
                </pt>
                <pt idx="10">
                  <v>12</v>
                </pt>
                <pt idx="11">
                  <v>13</v>
                </pt>
                <pt idx="12">
                  <v>14</v>
                </pt>
              </strCache>
            </strRef>
          </cat>
          <val>
            <numRef>
              <f>'types of households consume the'!$F$4:$F$17</f>
              <numCache>
                <formatCode>General</formatCode>
                <ptCount val="13"/>
                <pt idx="0">
                  <v>286.92</v>
                </pt>
                <pt idx="1">
                  <v>334.75</v>
                </pt>
                <pt idx="2">
                  <v>299.0526315789473</v>
                </pt>
                <pt idx="3">
                  <v>303.5263157894737</v>
                </pt>
                <pt idx="4">
                  <v>278.3333333333333</v>
                </pt>
                <pt idx="5">
                  <v>339.047619047619</v>
                </pt>
                <pt idx="6">
                  <v>285.7058823529412</v>
                </pt>
                <pt idx="7">
                  <v>299.1923076923077</v>
                </pt>
                <pt idx="8">
                  <v>299.5263157894737</v>
                </pt>
                <pt idx="9">
                  <v>307.625</v>
                </pt>
                <pt idx="10">
                  <v>304.9090909090909</v>
                </pt>
                <pt idx="11">
                  <v>296.7142857142857</v>
                </pt>
                <pt idx="12">
                  <v>295.7894736842105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51853183"/>
        <axId val="1146649199"/>
      </lineChart>
      <catAx>
        <axId val="12518531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46649199"/>
        <crosses val="autoZero"/>
        <auto val="1"/>
        <lblAlgn val="ctr"/>
        <lblOffset val="100"/>
        <noMultiLvlLbl val="0"/>
      </catAx>
      <valAx>
        <axId val="11466491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5185318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[Day-02-Household_Energy_Analysis.xlsx]types of households consume the!PivotTable6</name>
    <fmtId val="3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Electricity Usage by Income Level</a:t>
            </a:r>
          </a:p>
        </rich>
      </tx>
    </title>
    <pivotFmts>
      <pivotFmt>
        <idx val="0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</pivotFmt>
      <pivotFmt>
        <idx val="3"/>
      </pivotFmt>
      <pivotFmt>
        <idx val="4"/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  <scene3d>
            <camera prst="orthographicFront"/>
            <lightRig rig="brightRoom" dir="t"/>
          </scene3d>
          <a:sp3d xmlns:a="http://schemas.openxmlformats.org/drawingml/2006/main" prstMaterial="flat">
            <bevelT w="50800" h="101600" prst="angle"/>
            <contourClr rgb="00000000"/>
          </a:sp3d>
        </spPr>
        <marker>
          <symbol val="circle"/>
          <size val="6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inEnd"/>
          <showLegendKey val="0"/>
          <showVal val="0"/>
          <showCatName val="0"/>
          <showSerName val="0"/>
          <showPercent val="1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  <scene3d>
            <camera prst="orthographicFront"/>
            <lightRig rig="brightRoom" dir="t"/>
          </scene3d>
          <a:sp3d xmlns:a="http://schemas.openxmlformats.org/drawingml/2006/main" prstMaterial="flat">
            <bevelT w="50800" h="101600" prst="angle"/>
            <contourClr rgb="00000000"/>
          </a:sp3d>
        </spPr>
      </pivotFmt>
      <pivotFmt>
        <idx val="7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  <scene3d>
            <camera prst="orthographicFront"/>
            <lightRig rig="brightRoom" dir="t"/>
          </scene3d>
          <a:sp3d xmlns:a="http://schemas.openxmlformats.org/drawingml/2006/main" prstMaterial="flat">
            <bevelT w="50800" h="101600" prst="angle"/>
            <contourClr rgb="00000000"/>
          </a:sp3d>
        </spPr>
      </pivotFmt>
      <pivotFmt>
        <idx val="8"/>
        <spPr>
          <a:solidFill xmlns:a="http://schemas.openxmlformats.org/drawingml/2006/main">
            <a:schemeClr val="accent3"/>
          </a:solidFill>
          <a:ln xmlns:a="http://schemas.openxmlformats.org/drawingml/2006/main">
            <a:noFill/>
            <a:prstDash val="solid"/>
          </a:ln>
          <scene3d>
            <camera prst="orthographicFront"/>
            <lightRig rig="brightRoom" dir="t"/>
          </scene3d>
          <a:sp3d xmlns:a="http://schemas.openxmlformats.org/drawingml/2006/main" prstMaterial="flat">
            <bevelT w="50800" h="101600" prst="angle"/>
            <contourClr rgb="00000000"/>
          </a:sp3d>
        </spPr>
      </pivotFmt>
    </pivotFmts>
    <plotArea>
      <layout/>
      <pieChart>
        <varyColors val="1"/>
        <ser>
          <idx val="0"/>
          <order val="0"/>
          <tx>
            <strRef>
              <f>'types of households consume the'!$B$15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/>
                <lightRig rig="brightRoom" dir="t"/>
              </scene3d>
              <a:sp3d xmlns:a="http://schemas.openxmlformats.org/drawingml/2006/main" prstMaterial="flat">
                <bevelT w="50800" h="101600" prst="angle"/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/>
                <lightRig rig="brightRoom" dir="t"/>
              </scene3d>
              <a:sp3d xmlns:a="http://schemas.openxmlformats.org/drawingml/2006/main" prstMaterial="flat">
                <bevelT w="50800" h="101600" prst="angle"/>
                <contourClr rgb="00000000"/>
              </a:sp3d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/>
                <lightRig rig="brightRoom" dir="t"/>
              </scene3d>
              <a:sp3d xmlns:a="http://schemas.openxmlformats.org/drawingml/2006/main" prstMaterial="flat">
                <bevelT w="50800" h="101600" prst="angle"/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'types of households consume the'!$A$16:$A$19</f>
              <strCache>
                <ptCount val="3"/>
                <pt idx="0">
                  <v>High</v>
                </pt>
                <pt idx="1">
                  <v>Low</v>
                </pt>
                <pt idx="2">
                  <v>Middle</v>
                </pt>
              </strCache>
            </strRef>
          </cat>
          <val>
            <numRef>
              <f>'types of households consume the'!$B$16:$B$19</f>
              <numCache>
                <formatCode>General</formatCode>
                <ptCount val="3"/>
                <pt idx="0">
                  <v>298.2857142857143</v>
                </pt>
                <pt idx="1">
                  <v>297.4558823529412</v>
                </pt>
                <pt idx="2">
                  <v>308.047619047619</v>
                </pt>
              </numCache>
            </numRef>
          </val>
        </ser>
        <dLbls>
          <dLblPos val="in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Electricity Consumption</a:t>
            </a:r>
          </a:p>
        </rich>
      </tx>
    </title>
    <plotArea>
      <lineChart>
        <grouping val="standard"/>
        <ser>
          <idx val="0"/>
          <order val="0"/>
          <tx>
            <strRef>
              <f>'energy consumption patterns'!C2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'energy consumption patterns'!$A$3:$A$14</f>
            </numRef>
          </cat>
          <val>
            <numRef>
              <f>'energy consumption patterns'!$C$3:$C$14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kWh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23</row>
      <rowOff>0</rowOff>
    </from>
    <ext cx="46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hanmukh Koyya" refreshedDate="46285.38828310185" createdVersion="8" refreshedVersion="8" minRefreshableVersion="3" recordCount="250" r:id="rId1">
  <cacheSource type="worksheet">
    <worksheetSource name="Table1"/>
  </cacheSource>
  <cacheFields count="7">
    <cacheField name="Household_ID" uniqueList="1" numFmtId="0" sqlType="0" hierarchy="0" level="0" databaseField="1">
      <sharedItems count="0"/>
    </cacheField>
    <cacheField name="Family_Size" uniqueList="1" numFmtId="0" sqlType="0" hierarchy="0" level="0" databaseField="1">
      <sharedItems count="7" containsInteger="1" containsNumber="1" containsSemiMixedTypes="0" containsString="0" minValue="1" maxValue="7">
        <n v="7"/>
        <n v="4"/>
        <n v="5"/>
        <n v="3"/>
        <n v="2"/>
        <n v="6"/>
        <n v="1"/>
      </sharedItems>
    </cacheField>
    <cacheField name="Monthly_Income" uniqueList="1" numFmtId="0" sqlType="0" hierarchy="0" level="0" databaseField="1">
      <sharedItems count="250" containsInteger="1" containsNumber="1" containsSemiMixedTypes="0" containsString="0" minValue="20301" maxValue="99909">
        <n v="85318"/>
        <n v="43664"/>
        <n v="87172"/>
        <n v="46736"/>
        <n v="20854"/>
        <n v="58623"/>
        <n v="27392"/>
        <n v="75680"/>
        <n v="66717"/>
        <n v="70859"/>
        <n v="46309"/>
        <n v="83734"/>
        <n v="90467"/>
        <n v="72662"/>
        <n v="32688"/>
        <n v="45342"/>
        <n v="57157"/>
        <n v="87863"/>
        <n v="72083"/>
        <n v="85733"/>
        <n v="54698"/>
        <n v="42671"/>
        <n v="45184"/>
        <n v="62107"/>
        <n v="71663"/>
        <n v="35708"/>
        <n v="69811"/>
        <n v="22811"/>
        <n v="76250"/>
        <n v="92082"/>
        <n v="54754"/>
        <n v="31411"/>
        <n v="22911"/>
        <n v="87270"/>
        <n v="28680"/>
        <n v="91295"/>
        <n v="31111"/>
        <n v="57504"/>
        <n v="21802"/>
        <n v="28155"/>
        <n v="93656"/>
        <n v="59384"/>
        <n v="67254"/>
        <n v="41918"/>
        <n v="80713"/>
        <n v="50306"/>
        <n v="36646"/>
        <n v="66843"/>
        <n v="36371"/>
        <n v="97371"/>
        <n v="22049"/>
        <n v="51616"/>
        <n v="40932"/>
        <n v="49855"/>
        <n v="81434"/>
        <n v="92694"/>
        <n v="63016"/>
        <n v="27400"/>
        <n v="62642"/>
        <n v="35151"/>
        <n v="71407"/>
        <n v="86690"/>
        <n v="24499"/>
        <n v="26295"/>
        <n v="79040"/>
        <n v="32183"/>
        <n v="49299"/>
        <n v="32874"/>
        <n v="52711"/>
        <n v="25539"/>
        <n v="73351"/>
        <n v="81267"/>
        <n v="68354"/>
        <n v="22557"/>
        <n v="58360"/>
        <n v="22200"/>
        <n v="88497"/>
        <n v="66975"/>
        <n v="41357"/>
        <n v="97505"/>
        <n v="22869"/>
        <n v="81135"/>
        <n v="70108"/>
        <n v="58467"/>
        <n v="43328"/>
        <n v="23987"/>
        <n v="78871"/>
        <n v="42399"/>
        <n v="66214"/>
        <n v="90271"/>
        <n v="64064"/>
        <n v="90091"/>
        <n v="60818"/>
        <n v="65525"/>
        <n v="39830"/>
        <n v="37429"/>
        <n v="26893"/>
        <n v="99909"/>
        <n v="67333"/>
        <n v="23436"/>
        <n v="94290"/>
        <n v="96213"/>
        <n v="25895"/>
        <n v="39738"/>
        <n v="50746"/>
        <n v="69377"/>
        <n v="68404"/>
        <n v="74045"/>
        <n v="59790"/>
        <n v="25600"/>
        <n v="60764"/>
        <n v="94543"/>
        <n v="65714"/>
        <n v="76835"/>
        <n v="93744"/>
        <n v="76491"/>
        <n v="38589"/>
        <n v="63484"/>
        <n v="56212"/>
        <n v="63525"/>
        <n v="67202"/>
        <n v="52635"/>
        <n v="83208"/>
        <n v="53828"/>
        <n v="38711"/>
        <n v="23420"/>
        <n v="20301"/>
        <n v="65236"/>
        <n v="86235"/>
        <n v="74240"/>
        <n v="85726"/>
        <n v="30492"/>
        <n v="26102"/>
        <n v="70336"/>
        <n v="46641"/>
        <n v="54584"/>
        <n v="52745"/>
        <n v="43093"/>
        <n v="86105"/>
        <n v="71885"/>
        <n v="56631"/>
        <n v="92991"/>
        <n v="24014"/>
        <n v="31093"/>
        <n v="38070"/>
        <n v="55777"/>
        <n v="76958"/>
        <n v="30729"/>
        <n v="65017"/>
        <n v="86320"/>
        <n v="47751"/>
        <n v="98069"/>
        <n v="74748"/>
        <n v="25801"/>
        <n v="39190"/>
        <n v="69689"/>
        <n v="70993"/>
        <n v="49592"/>
        <n v="30647"/>
        <n v="28716"/>
        <n v="90316"/>
        <n v="22368"/>
        <n v="97575"/>
        <n v="26655"/>
        <n v="90031"/>
        <n v="96429"/>
        <n v="75766"/>
        <n v="33403"/>
        <n v="52097"/>
        <n v="98657"/>
        <n v="30966"/>
        <n v="72921"/>
        <n v="69726"/>
        <n v="70300"/>
        <n v="42677"/>
        <n v="75609"/>
        <n v="76661"/>
        <n v="51024"/>
        <n v="90313"/>
        <n v="73006"/>
        <n v="35338"/>
        <n v="88027"/>
        <n v="39508"/>
        <n v="23051"/>
        <n v="68747"/>
        <n v="74021"/>
        <n v="86412"/>
        <n v="78335"/>
        <n v="76179"/>
        <n v="52093"/>
        <n v="89678"/>
        <n v="59734"/>
        <n v="92615"/>
        <n v="93523"/>
        <n v="37019"/>
        <n v="93847"/>
        <n v="99634"/>
        <n v="48251"/>
        <n v="45945"/>
        <n v="52217"/>
        <n v="28308"/>
        <n v="25949"/>
        <n v="71990"/>
        <n v="21150"/>
        <n v="94740"/>
        <n v="86617"/>
        <n v="36896"/>
        <n v="66175"/>
        <n v="27805"/>
        <n v="25237"/>
        <n v="40056"/>
        <n v="65543"/>
        <n v="76556"/>
        <n v="23343"/>
        <n v="33500"/>
        <n v="73222"/>
        <n v="49375"/>
        <n v="29662"/>
        <n v="36964"/>
        <n v="79638"/>
        <n v="93666"/>
        <n v="87215"/>
        <n v="89042"/>
        <n v="33284"/>
        <n v="92789"/>
        <n v="81389"/>
        <n v="29435"/>
        <n v="74340"/>
        <n v="64078"/>
        <n v="98832"/>
        <n v="71293"/>
        <n v="98781"/>
        <n v="80403"/>
        <n v="49124"/>
        <n v="63919"/>
        <n v="55247"/>
        <n v="82752"/>
        <n v="76573"/>
        <n v="79101"/>
        <n v="46646"/>
        <n v="43049"/>
        <n v="99605"/>
        <n v="88385"/>
        <n v="60158"/>
        <n v="85417"/>
        <n v="43289"/>
        <n v="29823"/>
        <n v="80160"/>
        <n v="61975"/>
        <n v="29540"/>
      </sharedItems>
    </cacheField>
    <cacheField name="Electricity_Usage (kWh)" uniqueList="1" numFmtId="0" sqlType="0" hierarchy="0" level="0" databaseField="1">
      <sharedItems count="0" containsInteger="1" containsNumber="1" containsSemiMixedTypes="0" containsString="0" minValue="100" maxValue="500"/>
    </cacheField>
    <cacheField name="Gas_Usage" uniqueList="1" numFmtId="0" sqlType="0" hierarchy="0" level="0" databaseField="1">
      <sharedItems count="0" containsInteger="1" containsNumber="1" containsSemiMixedTypes="0" containsString="0" minValue="50" maxValue="200"/>
    </cacheField>
    <cacheField name="Appliances_Count" uniqueList="1" numFmtId="0" sqlType="0" hierarchy="0" level="0" databaseField="1">
      <sharedItems count="13" containsInteger="1" containsNumber="1" containsSemiMixedTypes="0" containsString="0" minValue="2" maxValue="14">
        <n v="6"/>
        <n v="10"/>
        <n v="2"/>
        <n v="12"/>
        <n v="9"/>
        <n v="7"/>
        <n v="8"/>
        <n v="4"/>
        <n v="13"/>
        <n v="3"/>
        <n v="14"/>
        <n v="11"/>
        <n v="5"/>
      </sharedItems>
    </cacheField>
    <cacheField name="Month" uniqueList="1" numFmtId="0" sqlType="0" hierarchy="0" level="0" databaseField="1">
      <sharedItems count="12">
        <s v="Mar"/>
        <s v="Feb"/>
        <s v="Jun"/>
        <s v="Dec"/>
        <s v="Jan"/>
        <s v="Apr"/>
        <s v="Aug"/>
        <s v="Jul"/>
        <s v="Oct"/>
        <s v="Sep"/>
        <s v="Nov"/>
        <s v="May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Shanmukh Koyya" refreshedDate="46285.41023101852" createdVersion="8" refreshedVersion="8" minRefreshableVersion="3" recordCount="251" r:id="rId1">
  <cacheSource type="worksheet">
    <worksheetSource ref="A1:H1048576" sheet="Raw_Data"/>
  </cacheSource>
  <cacheFields count="8">
    <cacheField name="Household_ID" uniqueList="1" numFmtId="0" sqlType="0" hierarchy="0" level="0" databaseField="1">
      <sharedItems count="0" containsBlank="1"/>
    </cacheField>
    <cacheField name="Family_Size" uniqueList="1" numFmtId="0" sqlType="0" hierarchy="0" level="0" databaseField="1">
      <sharedItems count="0" containsBlank="1" containsInteger="1" containsNumber="1" containsString="0" minValue="1" maxValue="7"/>
    </cacheField>
    <cacheField name="Monthly_Income" uniqueList="1" numFmtId="0" sqlType="0" hierarchy="0" level="0" databaseField="1">
      <sharedItems count="0" containsBlank="1" containsInteger="1" containsNumber="1" containsString="0" minValue="20301" maxValue="99909"/>
    </cacheField>
    <cacheField name="Electricity_Usage (kWh)" uniqueList="1" numFmtId="0" sqlType="0" hierarchy="0" level="0" databaseField="1">
      <sharedItems count="0" containsBlank="1" containsInteger="1" containsNumber="1" containsString="0" minValue="100" maxValue="500"/>
    </cacheField>
    <cacheField name="Gas_Usage" uniqueList="1" numFmtId="0" sqlType="0" hierarchy="0" level="0" databaseField="1">
      <sharedItems count="0" containsBlank="1" containsInteger="1" containsNumber="1" containsString="0" minValue="50" maxValue="200"/>
    </cacheField>
    <cacheField name="Appliances_Count" uniqueList="1" numFmtId="0" sqlType="0" hierarchy="0" level="0" databaseField="1">
      <sharedItems count="0" containsBlank="1" containsInteger="1" containsNumber="1" containsString="0" minValue="2" maxValue="14"/>
    </cacheField>
    <cacheField name="Month" uniqueList="1" numFmtId="0" sqlType="0" hierarchy="0" level="0" databaseField="1">
      <sharedItems count="0" containsBlank="1"/>
    </cacheField>
    <cacheField name="Income_Level" uniqueList="1" numFmtId="0" sqlType="0" hierarchy="0" level="0" databaseField="1">
      <sharedItems count="4" containsBlank="1">
        <s v="High"/>
        <s v="Middle"/>
        <s v="Low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50">
  <r>
    <s v="H001"/>
    <x v="0"/>
    <x v="0"/>
    <n v="103"/>
    <n v="105"/>
    <x v="0"/>
    <x v="0"/>
  </r>
  <r>
    <s v="H002"/>
    <x v="1"/>
    <x v="1"/>
    <n v="115"/>
    <n v="79"/>
    <x v="1"/>
    <x v="1"/>
  </r>
  <r>
    <s v="H003"/>
    <x v="2"/>
    <x v="2"/>
    <n v="379"/>
    <n v="158"/>
    <x v="2"/>
    <x v="1"/>
  </r>
  <r>
    <s v="H004"/>
    <x v="0"/>
    <x v="3"/>
    <n v="435"/>
    <n v="54"/>
    <x v="1"/>
    <x v="2"/>
  </r>
  <r>
    <s v="H005"/>
    <x v="3"/>
    <x v="4"/>
    <n v="346"/>
    <n v="168"/>
    <x v="3"/>
    <x v="3"/>
  </r>
  <r>
    <s v="H006"/>
    <x v="2"/>
    <x v="5"/>
    <n v="357"/>
    <n v="82"/>
    <x v="4"/>
    <x v="4"/>
  </r>
  <r>
    <s v="H007"/>
    <x v="2"/>
    <x v="6"/>
    <n v="483"/>
    <n v="167"/>
    <x v="5"/>
    <x v="1"/>
  </r>
  <r>
    <s v="H008"/>
    <x v="0"/>
    <x v="7"/>
    <n v="259"/>
    <n v="114"/>
    <x v="6"/>
    <x v="2"/>
  </r>
  <r>
    <s v="H009"/>
    <x v="4"/>
    <x v="8"/>
    <n v="439"/>
    <n v="195"/>
    <x v="7"/>
    <x v="0"/>
  </r>
  <r>
    <s v="H010"/>
    <x v="3"/>
    <x v="9"/>
    <n v="251"/>
    <n v="60"/>
    <x v="2"/>
    <x v="5"/>
  </r>
  <r>
    <s v="H011"/>
    <x v="0"/>
    <x v="10"/>
    <n v="495"/>
    <n v="134"/>
    <x v="0"/>
    <x v="4"/>
  </r>
  <r>
    <s v="H012"/>
    <x v="3"/>
    <x v="11"/>
    <n v="277"/>
    <n v="75"/>
    <x v="8"/>
    <x v="6"/>
  </r>
  <r>
    <s v="H013"/>
    <x v="3"/>
    <x v="12"/>
    <n v="262"/>
    <n v="112"/>
    <x v="8"/>
    <x v="7"/>
  </r>
  <r>
    <s v="H014"/>
    <x v="2"/>
    <x v="13"/>
    <n v="479"/>
    <n v="135"/>
    <x v="9"/>
    <x v="7"/>
  </r>
  <r>
    <s v="H015"/>
    <x v="1"/>
    <x v="14"/>
    <n v="132"/>
    <n v="108"/>
    <x v="0"/>
    <x v="0"/>
  </r>
  <r>
    <s v="H016"/>
    <x v="3"/>
    <x v="15"/>
    <n v="278"/>
    <n v="76"/>
    <x v="4"/>
    <x v="8"/>
  </r>
  <r>
    <s v="H017"/>
    <x v="5"/>
    <x v="16"/>
    <n v="200"/>
    <n v="147"/>
    <x v="3"/>
    <x v="8"/>
  </r>
  <r>
    <s v="H018"/>
    <x v="2"/>
    <x v="17"/>
    <n v="367"/>
    <n v="154"/>
    <x v="1"/>
    <x v="0"/>
  </r>
  <r>
    <s v="H019"/>
    <x v="4"/>
    <x v="18"/>
    <n v="422"/>
    <n v="148"/>
    <x v="9"/>
    <x v="1"/>
  </r>
  <r>
    <s v="H020"/>
    <x v="1"/>
    <x v="19"/>
    <n v="164"/>
    <n v="178"/>
    <x v="8"/>
    <x v="3"/>
  </r>
  <r>
    <s v="H021"/>
    <x v="5"/>
    <x v="20"/>
    <n v="267"/>
    <n v="198"/>
    <x v="7"/>
    <x v="4"/>
  </r>
  <r>
    <s v="H022"/>
    <x v="5"/>
    <x v="21"/>
    <n v="429"/>
    <n v="104"/>
    <x v="7"/>
    <x v="7"/>
  </r>
  <r>
    <s v="H023"/>
    <x v="4"/>
    <x v="22"/>
    <n v="142"/>
    <n v="55"/>
    <x v="2"/>
    <x v="7"/>
  </r>
  <r>
    <s v="H024"/>
    <x v="1"/>
    <x v="23"/>
    <n v="143"/>
    <n v="144"/>
    <x v="4"/>
    <x v="3"/>
  </r>
  <r>
    <s v="H025"/>
    <x v="2"/>
    <x v="24"/>
    <n v="384"/>
    <n v="182"/>
    <x v="5"/>
    <x v="1"/>
  </r>
  <r>
    <s v="H026"/>
    <x v="6"/>
    <x v="25"/>
    <n v="496"/>
    <n v="151"/>
    <x v="8"/>
    <x v="7"/>
  </r>
  <r>
    <s v="H027"/>
    <x v="1"/>
    <x v="26"/>
    <n v="111"/>
    <n v="52"/>
    <x v="10"/>
    <x v="6"/>
  </r>
  <r>
    <s v="H028"/>
    <x v="4"/>
    <x v="27"/>
    <n v="194"/>
    <n v="72"/>
    <x v="4"/>
    <x v="4"/>
  </r>
  <r>
    <s v="H029"/>
    <x v="5"/>
    <x v="28"/>
    <n v="401"/>
    <n v="102"/>
    <x v="3"/>
    <x v="9"/>
  </r>
  <r>
    <s v="H030"/>
    <x v="2"/>
    <x v="29"/>
    <n v="485"/>
    <n v="132"/>
    <x v="1"/>
    <x v="7"/>
  </r>
  <r>
    <s v="H031"/>
    <x v="1"/>
    <x v="30"/>
    <n v="352"/>
    <n v="194"/>
    <x v="0"/>
    <x v="0"/>
  </r>
  <r>
    <s v="H032"/>
    <x v="6"/>
    <x v="31"/>
    <n v="341"/>
    <n v="134"/>
    <x v="8"/>
    <x v="6"/>
  </r>
  <r>
    <s v="H033"/>
    <x v="6"/>
    <x v="32"/>
    <n v="134"/>
    <n v="127"/>
    <x v="7"/>
    <x v="7"/>
  </r>
  <r>
    <s v="H034"/>
    <x v="3"/>
    <x v="33"/>
    <n v="314"/>
    <n v="159"/>
    <x v="0"/>
    <x v="10"/>
  </r>
  <r>
    <s v="H035"/>
    <x v="3"/>
    <x v="34"/>
    <n v="436"/>
    <n v="50"/>
    <x v="0"/>
    <x v="6"/>
  </r>
  <r>
    <s v="H036"/>
    <x v="0"/>
    <x v="35"/>
    <n v="189"/>
    <n v="100"/>
    <x v="0"/>
    <x v="2"/>
  </r>
  <r>
    <s v="H037"/>
    <x v="4"/>
    <x v="36"/>
    <n v="363"/>
    <n v="53"/>
    <x v="7"/>
    <x v="9"/>
  </r>
  <r>
    <s v="H038"/>
    <x v="1"/>
    <x v="37"/>
    <n v="192"/>
    <n v="162"/>
    <x v="3"/>
    <x v="11"/>
  </r>
  <r>
    <s v="H039"/>
    <x v="1"/>
    <x v="38"/>
    <n v="189"/>
    <n v="81"/>
    <x v="11"/>
    <x v="0"/>
  </r>
  <r>
    <s v="H040"/>
    <x v="0"/>
    <x v="39"/>
    <n v="214"/>
    <n v="83"/>
    <x v="12"/>
    <x v="0"/>
  </r>
  <r>
    <s v="H041"/>
    <x v="5"/>
    <x v="40"/>
    <n v="204"/>
    <n v="141"/>
    <x v="1"/>
    <x v="4"/>
  </r>
  <r>
    <s v="H042"/>
    <x v="5"/>
    <x v="41"/>
    <n v="490"/>
    <n v="144"/>
    <x v="10"/>
    <x v="3"/>
  </r>
  <r>
    <s v="H043"/>
    <x v="0"/>
    <x v="42"/>
    <n v="295"/>
    <n v="121"/>
    <x v="11"/>
    <x v="6"/>
  </r>
  <r>
    <s v="H044"/>
    <x v="5"/>
    <x v="43"/>
    <n v="413"/>
    <n v="88"/>
    <x v="1"/>
    <x v="1"/>
  </r>
  <r>
    <s v="H045"/>
    <x v="3"/>
    <x v="44"/>
    <n v="213"/>
    <n v="167"/>
    <x v="9"/>
    <x v="0"/>
  </r>
  <r>
    <s v="H046"/>
    <x v="1"/>
    <x v="45"/>
    <n v="174"/>
    <n v="52"/>
    <x v="4"/>
    <x v="6"/>
  </r>
  <r>
    <s v="H047"/>
    <x v="0"/>
    <x v="46"/>
    <n v="475"/>
    <n v="172"/>
    <x v="4"/>
    <x v="6"/>
  </r>
  <r>
    <s v="H048"/>
    <x v="1"/>
    <x v="47"/>
    <n v="316"/>
    <n v="99"/>
    <x v="6"/>
    <x v="10"/>
  </r>
  <r>
    <s v="H049"/>
    <x v="6"/>
    <x v="48"/>
    <n v="376"/>
    <n v="61"/>
    <x v="4"/>
    <x v="5"/>
  </r>
  <r>
    <s v="H050"/>
    <x v="3"/>
    <x v="49"/>
    <n v="348"/>
    <n v="103"/>
    <x v="7"/>
    <x v="5"/>
  </r>
  <r>
    <s v="H051"/>
    <x v="2"/>
    <x v="50"/>
    <n v="263"/>
    <n v="182"/>
    <x v="10"/>
    <x v="11"/>
  </r>
  <r>
    <s v="H052"/>
    <x v="3"/>
    <x v="51"/>
    <n v="493"/>
    <n v="106"/>
    <x v="5"/>
    <x v="2"/>
  </r>
  <r>
    <s v="H053"/>
    <x v="0"/>
    <x v="52"/>
    <n v="456"/>
    <n v="194"/>
    <x v="2"/>
    <x v="11"/>
  </r>
  <r>
    <s v="H054"/>
    <x v="2"/>
    <x v="53"/>
    <n v="291"/>
    <n v="161"/>
    <x v="6"/>
    <x v="7"/>
  </r>
  <r>
    <s v="H055"/>
    <x v="6"/>
    <x v="54"/>
    <n v="326"/>
    <n v="96"/>
    <x v="2"/>
    <x v="1"/>
  </r>
  <r>
    <s v="H056"/>
    <x v="0"/>
    <x v="55"/>
    <n v="276"/>
    <n v="200"/>
    <x v="1"/>
    <x v="7"/>
  </r>
  <r>
    <s v="H057"/>
    <x v="4"/>
    <x v="56"/>
    <n v="198"/>
    <n v="134"/>
    <x v="2"/>
    <x v="8"/>
  </r>
  <r>
    <s v="H058"/>
    <x v="1"/>
    <x v="57"/>
    <n v="135"/>
    <n v="191"/>
    <x v="2"/>
    <x v="7"/>
  </r>
  <r>
    <s v="H059"/>
    <x v="6"/>
    <x v="58"/>
    <n v="195"/>
    <n v="115"/>
    <x v="6"/>
    <x v="4"/>
  </r>
  <r>
    <s v="H060"/>
    <x v="1"/>
    <x v="59"/>
    <n v="251"/>
    <n v="124"/>
    <x v="9"/>
    <x v="7"/>
  </r>
  <r>
    <s v="H061"/>
    <x v="5"/>
    <x v="60"/>
    <n v="250"/>
    <n v="152"/>
    <x v="0"/>
    <x v="11"/>
  </r>
  <r>
    <s v="H062"/>
    <x v="4"/>
    <x v="61"/>
    <n v="289"/>
    <n v="87"/>
    <x v="4"/>
    <x v="0"/>
  </r>
  <r>
    <s v="H063"/>
    <x v="4"/>
    <x v="62"/>
    <n v="323"/>
    <n v="99"/>
    <x v="4"/>
    <x v="0"/>
  </r>
  <r>
    <s v="H064"/>
    <x v="6"/>
    <x v="63"/>
    <n v="136"/>
    <n v="147"/>
    <x v="7"/>
    <x v="5"/>
  </r>
  <r>
    <s v="H065"/>
    <x v="4"/>
    <x v="64"/>
    <n v="367"/>
    <n v="131"/>
    <x v="6"/>
    <x v="3"/>
  </r>
  <r>
    <s v="H066"/>
    <x v="2"/>
    <x v="65"/>
    <n v="468"/>
    <n v="79"/>
    <x v="7"/>
    <x v="1"/>
  </r>
  <r>
    <s v="H067"/>
    <x v="4"/>
    <x v="66"/>
    <n v="282"/>
    <n v="128"/>
    <x v="5"/>
    <x v="1"/>
  </r>
  <r>
    <s v="H068"/>
    <x v="1"/>
    <x v="67"/>
    <n v="112"/>
    <n v="140"/>
    <x v="5"/>
    <x v="4"/>
  </r>
  <r>
    <s v="H069"/>
    <x v="1"/>
    <x v="68"/>
    <n v="378"/>
    <n v="101"/>
    <x v="7"/>
    <x v="11"/>
  </r>
  <r>
    <s v="H070"/>
    <x v="0"/>
    <x v="69"/>
    <n v="316"/>
    <n v="128"/>
    <x v="6"/>
    <x v="5"/>
  </r>
  <r>
    <s v="H071"/>
    <x v="1"/>
    <x v="70"/>
    <n v="454"/>
    <n v="79"/>
    <x v="7"/>
    <x v="10"/>
  </r>
  <r>
    <s v="H072"/>
    <x v="0"/>
    <x v="71"/>
    <n v="460"/>
    <n v="155"/>
    <x v="4"/>
    <x v="8"/>
  </r>
  <r>
    <s v="H073"/>
    <x v="1"/>
    <x v="72"/>
    <n v="385"/>
    <n v="100"/>
    <x v="11"/>
    <x v="1"/>
  </r>
  <r>
    <s v="H074"/>
    <x v="2"/>
    <x v="73"/>
    <n v="372"/>
    <n v="130"/>
    <x v="12"/>
    <x v="0"/>
  </r>
  <r>
    <s v="H075"/>
    <x v="0"/>
    <x v="74"/>
    <n v="468"/>
    <n v="182"/>
    <x v="10"/>
    <x v="7"/>
  </r>
  <r>
    <s v="H076"/>
    <x v="3"/>
    <x v="75"/>
    <n v="161"/>
    <n v="78"/>
    <x v="2"/>
    <x v="7"/>
  </r>
  <r>
    <s v="H077"/>
    <x v="5"/>
    <x v="76"/>
    <n v="183"/>
    <n v="181"/>
    <x v="12"/>
    <x v="3"/>
  </r>
  <r>
    <s v="H078"/>
    <x v="6"/>
    <x v="77"/>
    <n v="467"/>
    <n v="187"/>
    <x v="6"/>
    <x v="5"/>
  </r>
  <r>
    <s v="H079"/>
    <x v="1"/>
    <x v="78"/>
    <n v="316"/>
    <n v="194"/>
    <x v="3"/>
    <x v="11"/>
  </r>
  <r>
    <s v="H080"/>
    <x v="4"/>
    <x v="79"/>
    <n v="441"/>
    <n v="123"/>
    <x v="12"/>
    <x v="11"/>
  </r>
  <r>
    <s v="H081"/>
    <x v="1"/>
    <x v="80"/>
    <n v="496"/>
    <n v="66"/>
    <x v="10"/>
    <x v="2"/>
  </r>
  <r>
    <s v="H082"/>
    <x v="4"/>
    <x v="81"/>
    <n v="286"/>
    <n v="133"/>
    <x v="5"/>
    <x v="9"/>
  </r>
  <r>
    <s v="H083"/>
    <x v="5"/>
    <x v="82"/>
    <n v="118"/>
    <n v="118"/>
    <x v="1"/>
    <x v="1"/>
  </r>
  <r>
    <s v="H084"/>
    <x v="5"/>
    <x v="83"/>
    <n v="276"/>
    <n v="83"/>
    <x v="2"/>
    <x v="11"/>
  </r>
  <r>
    <s v="H085"/>
    <x v="5"/>
    <x v="84"/>
    <n v="199"/>
    <n v="55"/>
    <x v="10"/>
    <x v="3"/>
  </r>
  <r>
    <s v="H086"/>
    <x v="4"/>
    <x v="85"/>
    <n v="495"/>
    <n v="102"/>
    <x v="0"/>
    <x v="0"/>
  </r>
  <r>
    <s v="H087"/>
    <x v="1"/>
    <x v="86"/>
    <n v="332"/>
    <n v="175"/>
    <x v="3"/>
    <x v="5"/>
  </r>
  <r>
    <s v="H088"/>
    <x v="5"/>
    <x v="87"/>
    <n v="175"/>
    <n v="92"/>
    <x v="6"/>
    <x v="8"/>
  </r>
  <r>
    <s v="H089"/>
    <x v="2"/>
    <x v="88"/>
    <n v="364"/>
    <n v="164"/>
    <x v="2"/>
    <x v="2"/>
  </r>
  <r>
    <s v="H090"/>
    <x v="0"/>
    <x v="89"/>
    <n v="383"/>
    <n v="160"/>
    <x v="12"/>
    <x v="3"/>
  </r>
  <r>
    <s v="H091"/>
    <x v="4"/>
    <x v="90"/>
    <n v="305"/>
    <n v="200"/>
    <x v="5"/>
    <x v="6"/>
  </r>
  <r>
    <s v="H092"/>
    <x v="4"/>
    <x v="91"/>
    <n v="322"/>
    <n v="129"/>
    <x v="9"/>
    <x v="4"/>
  </r>
  <r>
    <s v="H093"/>
    <x v="1"/>
    <x v="92"/>
    <n v="483"/>
    <n v="144"/>
    <x v="11"/>
    <x v="8"/>
  </r>
  <r>
    <s v="H094"/>
    <x v="4"/>
    <x v="93"/>
    <n v="151"/>
    <n v="167"/>
    <x v="0"/>
    <x v="6"/>
  </r>
  <r>
    <s v="H095"/>
    <x v="4"/>
    <x v="94"/>
    <n v="438"/>
    <n v="193"/>
    <x v="3"/>
    <x v="10"/>
  </r>
  <r>
    <s v="H096"/>
    <x v="5"/>
    <x v="95"/>
    <n v="466"/>
    <n v="57"/>
    <x v="11"/>
    <x v="7"/>
  </r>
  <r>
    <s v="H097"/>
    <x v="1"/>
    <x v="96"/>
    <n v="243"/>
    <n v="181"/>
    <x v="2"/>
    <x v="4"/>
  </r>
  <r>
    <s v="H098"/>
    <x v="5"/>
    <x v="97"/>
    <n v="472"/>
    <n v="153"/>
    <x v="5"/>
    <x v="1"/>
  </r>
  <r>
    <s v="H099"/>
    <x v="0"/>
    <x v="98"/>
    <n v="168"/>
    <n v="181"/>
    <x v="5"/>
    <x v="0"/>
  </r>
  <r>
    <s v="H100"/>
    <x v="0"/>
    <x v="99"/>
    <n v="198"/>
    <n v="74"/>
    <x v="10"/>
    <x v="4"/>
  </r>
  <r>
    <s v="H101"/>
    <x v="5"/>
    <x v="100"/>
    <n v="495"/>
    <n v="145"/>
    <x v="12"/>
    <x v="9"/>
  </r>
  <r>
    <s v="H102"/>
    <x v="0"/>
    <x v="101"/>
    <n v="124"/>
    <n v="142"/>
    <x v="10"/>
    <x v="6"/>
  </r>
  <r>
    <s v="H103"/>
    <x v="1"/>
    <x v="102"/>
    <n v="478"/>
    <n v="110"/>
    <x v="4"/>
    <x v="1"/>
  </r>
  <r>
    <s v="H104"/>
    <x v="6"/>
    <x v="103"/>
    <n v="152"/>
    <n v="171"/>
    <x v="12"/>
    <x v="9"/>
  </r>
  <r>
    <s v="H105"/>
    <x v="5"/>
    <x v="104"/>
    <n v="250"/>
    <n v="100"/>
    <x v="4"/>
    <x v="7"/>
  </r>
  <r>
    <s v="H106"/>
    <x v="2"/>
    <x v="105"/>
    <n v="243"/>
    <n v="196"/>
    <x v="10"/>
    <x v="9"/>
  </r>
  <r>
    <s v="H107"/>
    <x v="2"/>
    <x v="106"/>
    <n v="156"/>
    <n v="70"/>
    <x v="4"/>
    <x v="2"/>
  </r>
  <r>
    <s v="H108"/>
    <x v="4"/>
    <x v="107"/>
    <n v="138"/>
    <n v="54"/>
    <x v="0"/>
    <x v="2"/>
  </r>
  <r>
    <s v="H109"/>
    <x v="0"/>
    <x v="108"/>
    <n v="208"/>
    <n v="141"/>
    <x v="10"/>
    <x v="10"/>
  </r>
  <r>
    <s v="H110"/>
    <x v="2"/>
    <x v="109"/>
    <n v="280"/>
    <n v="110"/>
    <x v="12"/>
    <x v="5"/>
  </r>
  <r>
    <s v="H111"/>
    <x v="4"/>
    <x v="110"/>
    <n v="141"/>
    <n v="71"/>
    <x v="8"/>
    <x v="8"/>
  </r>
  <r>
    <s v="H112"/>
    <x v="6"/>
    <x v="111"/>
    <n v="285"/>
    <n v="198"/>
    <x v="10"/>
    <x v="8"/>
  </r>
  <r>
    <s v="H113"/>
    <x v="1"/>
    <x v="112"/>
    <n v="497"/>
    <n v="119"/>
    <x v="9"/>
    <x v="1"/>
  </r>
  <r>
    <s v="H114"/>
    <x v="1"/>
    <x v="113"/>
    <n v="322"/>
    <n v="50"/>
    <x v="3"/>
    <x v="7"/>
  </r>
  <r>
    <s v="H115"/>
    <x v="1"/>
    <x v="114"/>
    <n v="221"/>
    <n v="182"/>
    <x v="7"/>
    <x v="11"/>
  </r>
  <r>
    <s v="H116"/>
    <x v="2"/>
    <x v="115"/>
    <n v="232"/>
    <n v="61"/>
    <x v="7"/>
    <x v="10"/>
  </r>
  <r>
    <s v="H117"/>
    <x v="6"/>
    <x v="116"/>
    <n v="262"/>
    <n v="139"/>
    <x v="12"/>
    <x v="2"/>
  </r>
  <r>
    <s v="H118"/>
    <x v="2"/>
    <x v="117"/>
    <n v="314"/>
    <n v="95"/>
    <x v="12"/>
    <x v="1"/>
  </r>
  <r>
    <s v="H119"/>
    <x v="0"/>
    <x v="118"/>
    <n v="320"/>
    <n v="83"/>
    <x v="11"/>
    <x v="11"/>
  </r>
  <r>
    <s v="H120"/>
    <x v="2"/>
    <x v="119"/>
    <n v="334"/>
    <n v="127"/>
    <x v="3"/>
    <x v="8"/>
  </r>
  <r>
    <s v="H121"/>
    <x v="6"/>
    <x v="120"/>
    <n v="430"/>
    <n v="94"/>
    <x v="3"/>
    <x v="5"/>
  </r>
  <r>
    <s v="H122"/>
    <x v="6"/>
    <x v="121"/>
    <n v="245"/>
    <n v="122"/>
    <x v="0"/>
    <x v="9"/>
  </r>
  <r>
    <s v="H123"/>
    <x v="0"/>
    <x v="122"/>
    <n v="338"/>
    <n v="75"/>
    <x v="12"/>
    <x v="2"/>
  </r>
  <r>
    <s v="H124"/>
    <x v="6"/>
    <x v="123"/>
    <n v="175"/>
    <n v="96"/>
    <x v="3"/>
    <x v="1"/>
  </r>
  <r>
    <s v="H125"/>
    <x v="6"/>
    <x v="124"/>
    <n v="108"/>
    <n v="170"/>
    <x v="11"/>
    <x v="4"/>
  </r>
  <r>
    <s v="H126"/>
    <x v="1"/>
    <x v="125"/>
    <n v="173"/>
    <n v="105"/>
    <x v="4"/>
    <x v="11"/>
  </r>
  <r>
    <s v="H127"/>
    <x v="0"/>
    <x v="126"/>
    <n v="500"/>
    <n v="143"/>
    <x v="5"/>
    <x v="9"/>
  </r>
  <r>
    <s v="H128"/>
    <x v="3"/>
    <x v="127"/>
    <n v="352"/>
    <n v="156"/>
    <x v="5"/>
    <x v="2"/>
  </r>
  <r>
    <s v="H129"/>
    <x v="3"/>
    <x v="128"/>
    <n v="329"/>
    <n v="112"/>
    <x v="4"/>
    <x v="8"/>
  </r>
  <r>
    <s v="H130"/>
    <x v="6"/>
    <x v="129"/>
    <n v="106"/>
    <n v="97"/>
    <x v="6"/>
    <x v="3"/>
  </r>
  <r>
    <s v="H131"/>
    <x v="3"/>
    <x v="130"/>
    <n v="273"/>
    <n v="110"/>
    <x v="11"/>
    <x v="7"/>
  </r>
  <r>
    <s v="H132"/>
    <x v="3"/>
    <x v="131"/>
    <n v="240"/>
    <n v="130"/>
    <x v="3"/>
    <x v="11"/>
  </r>
  <r>
    <s v="H133"/>
    <x v="6"/>
    <x v="132"/>
    <n v="267"/>
    <n v="75"/>
    <x v="8"/>
    <x v="8"/>
  </r>
  <r>
    <s v="H134"/>
    <x v="3"/>
    <x v="133"/>
    <n v="269"/>
    <n v="85"/>
    <x v="11"/>
    <x v="2"/>
  </r>
  <r>
    <s v="H135"/>
    <x v="2"/>
    <x v="134"/>
    <n v="492"/>
    <n v="50"/>
    <x v="10"/>
    <x v="11"/>
  </r>
  <r>
    <s v="H136"/>
    <x v="4"/>
    <x v="135"/>
    <n v="382"/>
    <n v="57"/>
    <x v="4"/>
    <x v="10"/>
  </r>
  <r>
    <s v="H137"/>
    <x v="0"/>
    <x v="136"/>
    <n v="221"/>
    <n v="162"/>
    <x v="9"/>
    <x v="9"/>
  </r>
  <r>
    <s v="H138"/>
    <x v="4"/>
    <x v="137"/>
    <n v="293"/>
    <n v="148"/>
    <x v="1"/>
    <x v="2"/>
  </r>
  <r>
    <s v="H139"/>
    <x v="6"/>
    <x v="138"/>
    <n v="104"/>
    <n v="96"/>
    <x v="2"/>
    <x v="10"/>
  </r>
  <r>
    <s v="H140"/>
    <x v="1"/>
    <x v="139"/>
    <n v="128"/>
    <n v="176"/>
    <x v="4"/>
    <x v="6"/>
  </r>
  <r>
    <s v="H141"/>
    <x v="0"/>
    <x v="140"/>
    <n v="264"/>
    <n v="105"/>
    <x v="8"/>
    <x v="1"/>
  </r>
  <r>
    <s v="H142"/>
    <x v="6"/>
    <x v="141"/>
    <n v="438"/>
    <n v="63"/>
    <x v="3"/>
    <x v="3"/>
  </r>
  <r>
    <s v="H143"/>
    <x v="1"/>
    <x v="142"/>
    <n v="235"/>
    <n v="77"/>
    <x v="8"/>
    <x v="9"/>
  </r>
  <r>
    <s v="H144"/>
    <x v="4"/>
    <x v="143"/>
    <n v="464"/>
    <n v="127"/>
    <x v="8"/>
    <x v="11"/>
  </r>
  <r>
    <s v="H145"/>
    <x v="6"/>
    <x v="144"/>
    <n v="420"/>
    <n v="179"/>
    <x v="12"/>
    <x v="7"/>
  </r>
  <r>
    <s v="H146"/>
    <x v="0"/>
    <x v="145"/>
    <n v="441"/>
    <n v="158"/>
    <x v="12"/>
    <x v="8"/>
  </r>
  <r>
    <s v="H147"/>
    <x v="0"/>
    <x v="146"/>
    <n v="244"/>
    <n v="63"/>
    <x v="0"/>
    <x v="4"/>
  </r>
  <r>
    <s v="H148"/>
    <x v="5"/>
    <x v="147"/>
    <n v="426"/>
    <n v="105"/>
    <x v="4"/>
    <x v="8"/>
  </r>
  <r>
    <s v="H149"/>
    <x v="2"/>
    <x v="148"/>
    <n v="316"/>
    <n v="164"/>
    <x v="0"/>
    <x v="11"/>
  </r>
  <r>
    <s v="H150"/>
    <x v="3"/>
    <x v="149"/>
    <n v="400"/>
    <n v="56"/>
    <x v="4"/>
    <x v="3"/>
  </r>
  <r>
    <s v="H151"/>
    <x v="1"/>
    <x v="150"/>
    <n v="231"/>
    <n v="52"/>
    <x v="11"/>
    <x v="8"/>
  </r>
  <r>
    <s v="H152"/>
    <x v="5"/>
    <x v="151"/>
    <n v="391"/>
    <n v="160"/>
    <x v="2"/>
    <x v="1"/>
  </r>
  <r>
    <s v="H153"/>
    <x v="3"/>
    <x v="152"/>
    <n v="169"/>
    <n v="200"/>
    <x v="8"/>
    <x v="3"/>
  </r>
  <r>
    <s v="H154"/>
    <x v="3"/>
    <x v="153"/>
    <n v="351"/>
    <n v="156"/>
    <x v="11"/>
    <x v="2"/>
  </r>
  <r>
    <s v="H155"/>
    <x v="6"/>
    <x v="154"/>
    <n v="374"/>
    <n v="67"/>
    <x v="1"/>
    <x v="10"/>
  </r>
  <r>
    <s v="H156"/>
    <x v="3"/>
    <x v="155"/>
    <n v="463"/>
    <n v="87"/>
    <x v="5"/>
    <x v="4"/>
  </r>
  <r>
    <s v="H157"/>
    <x v="2"/>
    <x v="156"/>
    <n v="281"/>
    <n v="164"/>
    <x v="7"/>
    <x v="0"/>
  </r>
  <r>
    <s v="H158"/>
    <x v="0"/>
    <x v="157"/>
    <n v="266"/>
    <n v="64"/>
    <x v="10"/>
    <x v="11"/>
  </r>
  <r>
    <s v="H159"/>
    <x v="5"/>
    <x v="158"/>
    <n v="190"/>
    <n v="168"/>
    <x v="4"/>
    <x v="5"/>
  </r>
  <r>
    <s v="H160"/>
    <x v="3"/>
    <x v="159"/>
    <n v="301"/>
    <n v="77"/>
    <x v="1"/>
    <x v="0"/>
  </r>
  <r>
    <s v="H161"/>
    <x v="6"/>
    <x v="160"/>
    <n v="445"/>
    <n v="88"/>
    <x v="5"/>
    <x v="8"/>
  </r>
  <r>
    <s v="H162"/>
    <x v="2"/>
    <x v="161"/>
    <n v="118"/>
    <n v="66"/>
    <x v="3"/>
    <x v="11"/>
  </r>
  <r>
    <s v="H163"/>
    <x v="4"/>
    <x v="162"/>
    <n v="138"/>
    <n v="135"/>
    <x v="6"/>
    <x v="10"/>
  </r>
  <r>
    <s v="H164"/>
    <x v="0"/>
    <x v="163"/>
    <n v="225"/>
    <n v="175"/>
    <x v="2"/>
    <x v="6"/>
  </r>
  <r>
    <s v="H165"/>
    <x v="0"/>
    <x v="164"/>
    <n v="272"/>
    <n v="93"/>
    <x v="0"/>
    <x v="10"/>
  </r>
  <r>
    <s v="H166"/>
    <x v="5"/>
    <x v="165"/>
    <n v="240"/>
    <n v="74"/>
    <x v="0"/>
    <x v="5"/>
  </r>
  <r>
    <s v="H167"/>
    <x v="0"/>
    <x v="166"/>
    <n v="341"/>
    <n v="194"/>
    <x v="11"/>
    <x v="4"/>
  </r>
  <r>
    <s v="H168"/>
    <x v="3"/>
    <x v="167"/>
    <n v="319"/>
    <n v="62"/>
    <x v="12"/>
    <x v="10"/>
  </r>
  <r>
    <s v="H169"/>
    <x v="6"/>
    <x v="168"/>
    <n v="225"/>
    <n v="74"/>
    <x v="5"/>
    <x v="7"/>
  </r>
  <r>
    <s v="H170"/>
    <x v="0"/>
    <x v="169"/>
    <n v="157"/>
    <n v="117"/>
    <x v="6"/>
    <x v="6"/>
  </r>
  <r>
    <s v="H171"/>
    <x v="0"/>
    <x v="170"/>
    <n v="247"/>
    <n v="187"/>
    <x v="1"/>
    <x v="0"/>
  </r>
  <r>
    <s v="H172"/>
    <x v="4"/>
    <x v="171"/>
    <n v="416"/>
    <n v="116"/>
    <x v="2"/>
    <x v="2"/>
  </r>
  <r>
    <s v="H173"/>
    <x v="4"/>
    <x v="172"/>
    <n v="482"/>
    <n v="158"/>
    <x v="5"/>
    <x v="1"/>
  </r>
  <r>
    <s v="H174"/>
    <x v="1"/>
    <x v="173"/>
    <n v="460"/>
    <n v="195"/>
    <x v="6"/>
    <x v="7"/>
  </r>
  <r>
    <s v="H175"/>
    <x v="2"/>
    <x v="174"/>
    <n v="100"/>
    <n v="160"/>
    <x v="7"/>
    <x v="6"/>
  </r>
  <r>
    <s v="H176"/>
    <x v="3"/>
    <x v="175"/>
    <n v="486"/>
    <n v="160"/>
    <x v="4"/>
    <x v="2"/>
  </r>
  <r>
    <s v="H177"/>
    <x v="0"/>
    <x v="176"/>
    <n v="447"/>
    <n v="83"/>
    <x v="0"/>
    <x v="2"/>
  </r>
  <r>
    <s v="H178"/>
    <x v="0"/>
    <x v="177"/>
    <n v="289"/>
    <n v="160"/>
    <x v="1"/>
    <x v="11"/>
  </r>
  <r>
    <s v="H179"/>
    <x v="6"/>
    <x v="178"/>
    <n v="290"/>
    <n v="57"/>
    <x v="0"/>
    <x v="6"/>
  </r>
  <r>
    <s v="H180"/>
    <x v="1"/>
    <x v="179"/>
    <n v="468"/>
    <n v="162"/>
    <x v="1"/>
    <x v="4"/>
  </r>
  <r>
    <s v="H181"/>
    <x v="2"/>
    <x v="180"/>
    <n v="411"/>
    <n v="132"/>
    <x v="11"/>
    <x v="8"/>
  </r>
  <r>
    <s v="H182"/>
    <x v="1"/>
    <x v="181"/>
    <n v="216"/>
    <n v="91"/>
    <x v="12"/>
    <x v="5"/>
  </r>
  <r>
    <s v="H183"/>
    <x v="5"/>
    <x v="182"/>
    <n v="233"/>
    <n v="150"/>
    <x v="1"/>
    <x v="5"/>
  </r>
  <r>
    <s v="H184"/>
    <x v="2"/>
    <x v="183"/>
    <n v="157"/>
    <n v="55"/>
    <x v="0"/>
    <x v="0"/>
  </r>
  <r>
    <s v="H185"/>
    <x v="0"/>
    <x v="184"/>
    <n v="143"/>
    <n v="75"/>
    <x v="11"/>
    <x v="0"/>
  </r>
  <r>
    <s v="H186"/>
    <x v="0"/>
    <x v="185"/>
    <n v="272"/>
    <n v="113"/>
    <x v="1"/>
    <x v="5"/>
  </r>
  <r>
    <s v="H187"/>
    <x v="2"/>
    <x v="186"/>
    <n v="259"/>
    <n v="108"/>
    <x v="7"/>
    <x v="10"/>
  </r>
  <r>
    <s v="H188"/>
    <x v="0"/>
    <x v="187"/>
    <n v="272"/>
    <n v="158"/>
    <x v="12"/>
    <x v="4"/>
  </r>
  <r>
    <s v="H189"/>
    <x v="3"/>
    <x v="188"/>
    <n v="416"/>
    <n v="170"/>
    <x v="1"/>
    <x v="10"/>
  </r>
  <r>
    <s v="H190"/>
    <x v="2"/>
    <x v="189"/>
    <n v="402"/>
    <n v="82"/>
    <x v="11"/>
    <x v="10"/>
  </r>
  <r>
    <s v="H191"/>
    <x v="1"/>
    <x v="190"/>
    <n v="248"/>
    <n v="199"/>
    <x v="3"/>
    <x v="1"/>
  </r>
  <r>
    <s v="H192"/>
    <x v="2"/>
    <x v="191"/>
    <n v="179"/>
    <n v="70"/>
    <x v="5"/>
    <x v="9"/>
  </r>
  <r>
    <s v="H193"/>
    <x v="0"/>
    <x v="192"/>
    <n v="473"/>
    <n v="119"/>
    <x v="9"/>
    <x v="8"/>
  </r>
  <r>
    <s v="H194"/>
    <x v="3"/>
    <x v="193"/>
    <n v="312"/>
    <n v="161"/>
    <x v="6"/>
    <x v="1"/>
  </r>
  <r>
    <s v="H195"/>
    <x v="3"/>
    <x v="194"/>
    <n v="302"/>
    <n v="53"/>
    <x v="9"/>
    <x v="11"/>
  </r>
  <r>
    <s v="H196"/>
    <x v="5"/>
    <x v="195"/>
    <n v="351"/>
    <n v="143"/>
    <x v="3"/>
    <x v="9"/>
  </r>
  <r>
    <s v="H197"/>
    <x v="1"/>
    <x v="196"/>
    <n v="328"/>
    <n v="124"/>
    <x v="9"/>
    <x v="9"/>
  </r>
  <r>
    <s v="H198"/>
    <x v="4"/>
    <x v="197"/>
    <n v="263"/>
    <n v="111"/>
    <x v="3"/>
    <x v="6"/>
  </r>
  <r>
    <s v="H199"/>
    <x v="4"/>
    <x v="198"/>
    <n v="326"/>
    <n v="143"/>
    <x v="2"/>
    <x v="4"/>
  </r>
  <r>
    <s v="H200"/>
    <x v="2"/>
    <x v="199"/>
    <n v="246"/>
    <n v="144"/>
    <x v="3"/>
    <x v="4"/>
  </r>
  <r>
    <s v="H201"/>
    <x v="5"/>
    <x v="200"/>
    <n v="119"/>
    <n v="104"/>
    <x v="3"/>
    <x v="9"/>
  </r>
  <r>
    <s v="H202"/>
    <x v="6"/>
    <x v="201"/>
    <n v="146"/>
    <n v="186"/>
    <x v="8"/>
    <x v="10"/>
  </r>
  <r>
    <s v="H203"/>
    <x v="2"/>
    <x v="202"/>
    <n v="332"/>
    <n v="180"/>
    <x v="3"/>
    <x v="6"/>
  </r>
  <r>
    <s v="H204"/>
    <x v="5"/>
    <x v="203"/>
    <n v="404"/>
    <n v="80"/>
    <x v="7"/>
    <x v="8"/>
  </r>
  <r>
    <s v="H205"/>
    <x v="1"/>
    <x v="204"/>
    <n v="113"/>
    <n v="89"/>
    <x v="5"/>
    <x v="9"/>
  </r>
  <r>
    <s v="H206"/>
    <x v="1"/>
    <x v="205"/>
    <n v="242"/>
    <n v="85"/>
    <x v="4"/>
    <x v="7"/>
  </r>
  <r>
    <s v="H207"/>
    <x v="1"/>
    <x v="206"/>
    <n v="100"/>
    <n v="55"/>
    <x v="1"/>
    <x v="0"/>
  </r>
  <r>
    <s v="H208"/>
    <x v="1"/>
    <x v="207"/>
    <n v="472"/>
    <n v="115"/>
    <x v="6"/>
    <x v="0"/>
  </r>
  <r>
    <s v="H209"/>
    <x v="1"/>
    <x v="208"/>
    <n v="153"/>
    <n v="124"/>
    <x v="12"/>
    <x v="1"/>
  </r>
  <r>
    <s v="H210"/>
    <x v="5"/>
    <x v="209"/>
    <n v="473"/>
    <n v="53"/>
    <x v="5"/>
    <x v="11"/>
  </r>
  <r>
    <s v="H211"/>
    <x v="5"/>
    <x v="210"/>
    <n v="358"/>
    <n v="128"/>
    <x v="0"/>
    <x v="3"/>
  </r>
  <r>
    <s v="H212"/>
    <x v="3"/>
    <x v="211"/>
    <n v="243"/>
    <n v="183"/>
    <x v="4"/>
    <x v="3"/>
  </r>
  <r>
    <s v="H213"/>
    <x v="4"/>
    <x v="212"/>
    <n v="111"/>
    <n v="167"/>
    <x v="2"/>
    <x v="0"/>
  </r>
  <r>
    <s v="H214"/>
    <x v="0"/>
    <x v="213"/>
    <n v="429"/>
    <n v="162"/>
    <x v="2"/>
    <x v="2"/>
  </r>
  <r>
    <s v="H215"/>
    <x v="1"/>
    <x v="214"/>
    <n v="323"/>
    <n v="143"/>
    <x v="10"/>
    <x v="1"/>
  </r>
  <r>
    <s v="H216"/>
    <x v="6"/>
    <x v="215"/>
    <n v="371"/>
    <n v="111"/>
    <x v="3"/>
    <x v="3"/>
  </r>
  <r>
    <s v="H217"/>
    <x v="0"/>
    <x v="216"/>
    <n v="457"/>
    <n v="128"/>
    <x v="5"/>
    <x v="0"/>
  </r>
  <r>
    <s v="H218"/>
    <x v="5"/>
    <x v="217"/>
    <n v="255"/>
    <n v="185"/>
    <x v="11"/>
    <x v="11"/>
  </r>
  <r>
    <s v="H219"/>
    <x v="6"/>
    <x v="218"/>
    <n v="472"/>
    <n v="75"/>
    <x v="8"/>
    <x v="3"/>
  </r>
  <r>
    <s v="H220"/>
    <x v="6"/>
    <x v="219"/>
    <n v="107"/>
    <n v="93"/>
    <x v="9"/>
    <x v="10"/>
  </r>
  <r>
    <s v="H221"/>
    <x v="6"/>
    <x v="220"/>
    <n v="221"/>
    <n v="182"/>
    <x v="0"/>
    <x v="10"/>
  </r>
  <r>
    <s v="H222"/>
    <x v="3"/>
    <x v="221"/>
    <n v="447"/>
    <n v="119"/>
    <x v="2"/>
    <x v="4"/>
  </r>
  <r>
    <s v="H223"/>
    <x v="5"/>
    <x v="222"/>
    <n v="263"/>
    <n v="167"/>
    <x v="6"/>
    <x v="4"/>
  </r>
  <r>
    <s v="H224"/>
    <x v="6"/>
    <x v="223"/>
    <n v="189"/>
    <n v="117"/>
    <x v="2"/>
    <x v="8"/>
  </r>
  <r>
    <s v="H225"/>
    <x v="1"/>
    <x v="224"/>
    <n v="235"/>
    <n v="68"/>
    <x v="12"/>
    <x v="9"/>
  </r>
  <r>
    <s v="H226"/>
    <x v="2"/>
    <x v="225"/>
    <n v="285"/>
    <n v="69"/>
    <x v="1"/>
    <x v="7"/>
  </r>
  <r>
    <s v="H227"/>
    <x v="6"/>
    <x v="226"/>
    <n v="415"/>
    <n v="162"/>
    <x v="2"/>
    <x v="4"/>
  </r>
  <r>
    <s v="H228"/>
    <x v="3"/>
    <x v="227"/>
    <n v="277"/>
    <n v="189"/>
    <x v="12"/>
    <x v="3"/>
  </r>
  <r>
    <s v="H229"/>
    <x v="0"/>
    <x v="228"/>
    <n v="127"/>
    <n v="96"/>
    <x v="5"/>
    <x v="6"/>
  </r>
  <r>
    <s v="H230"/>
    <x v="5"/>
    <x v="229"/>
    <n v="319"/>
    <n v="50"/>
    <x v="5"/>
    <x v="0"/>
  </r>
  <r>
    <s v="H231"/>
    <x v="3"/>
    <x v="230"/>
    <n v="456"/>
    <n v="139"/>
    <x v="8"/>
    <x v="6"/>
  </r>
  <r>
    <s v="H232"/>
    <x v="6"/>
    <x v="231"/>
    <n v="140"/>
    <n v="191"/>
    <x v="10"/>
    <x v="11"/>
  </r>
  <r>
    <s v="H233"/>
    <x v="5"/>
    <x v="232"/>
    <n v="327"/>
    <n v="113"/>
    <x v="4"/>
    <x v="4"/>
  </r>
  <r>
    <s v="H234"/>
    <x v="2"/>
    <x v="233"/>
    <n v="291"/>
    <n v="87"/>
    <x v="2"/>
    <x v="7"/>
  </r>
  <r>
    <s v="H235"/>
    <x v="6"/>
    <x v="234"/>
    <n v="244"/>
    <n v="86"/>
    <x v="6"/>
    <x v="11"/>
  </r>
  <r>
    <s v="H236"/>
    <x v="3"/>
    <x v="235"/>
    <n v="300"/>
    <n v="175"/>
    <x v="2"/>
    <x v="2"/>
  </r>
  <r>
    <s v="H237"/>
    <x v="4"/>
    <x v="236"/>
    <n v="311"/>
    <n v="188"/>
    <x v="10"/>
    <x v="2"/>
  </r>
  <r>
    <s v="H238"/>
    <x v="1"/>
    <x v="237"/>
    <n v="319"/>
    <n v="149"/>
    <x v="6"/>
    <x v="6"/>
  </r>
  <r>
    <s v="H239"/>
    <x v="0"/>
    <x v="238"/>
    <n v="339"/>
    <n v="126"/>
    <x v="7"/>
    <x v="9"/>
  </r>
  <r>
    <s v="H240"/>
    <x v="3"/>
    <x v="239"/>
    <n v="496"/>
    <n v="52"/>
    <x v="3"/>
    <x v="1"/>
  </r>
  <r>
    <s v="H241"/>
    <x v="5"/>
    <x v="240"/>
    <n v="145"/>
    <n v="183"/>
    <x v="4"/>
    <x v="9"/>
  </r>
  <r>
    <s v="H242"/>
    <x v="6"/>
    <x v="241"/>
    <n v="134"/>
    <n v="59"/>
    <x v="7"/>
    <x v="3"/>
  </r>
  <r>
    <s v="H243"/>
    <x v="1"/>
    <x v="242"/>
    <n v="352"/>
    <n v="54"/>
    <x v="10"/>
    <x v="10"/>
  </r>
  <r>
    <s v="H244"/>
    <x v="6"/>
    <x v="243"/>
    <n v="489"/>
    <n v="200"/>
    <x v="2"/>
    <x v="8"/>
  </r>
  <r>
    <s v="H245"/>
    <x v="5"/>
    <x v="244"/>
    <n v="181"/>
    <n v="187"/>
    <x v="10"/>
    <x v="9"/>
  </r>
  <r>
    <s v="H246"/>
    <x v="6"/>
    <x v="245"/>
    <n v="470"/>
    <n v="179"/>
    <x v="10"/>
    <x v="8"/>
  </r>
  <r>
    <s v="H247"/>
    <x v="4"/>
    <x v="246"/>
    <n v="355"/>
    <n v="62"/>
    <x v="4"/>
    <x v="8"/>
  </r>
  <r>
    <s v="H248"/>
    <x v="1"/>
    <x v="247"/>
    <n v="296"/>
    <n v="179"/>
    <x v="7"/>
    <x v="7"/>
  </r>
  <r>
    <s v="H249"/>
    <x v="1"/>
    <x v="248"/>
    <n v="402"/>
    <n v="133"/>
    <x v="9"/>
    <x v="4"/>
  </r>
  <r>
    <s v="H250"/>
    <x v="5"/>
    <x v="249"/>
    <n v="109"/>
    <n v="114"/>
    <x v="2"/>
    <x v="7"/>
  </r>
</pivotCacheRecords>
</file>

<file path=xl/pivotCache/pivotCacheRecords2.xml><?xml version="1.0" encoding="utf-8"?>
<pivotCacheRecords xmlns="http://schemas.openxmlformats.org/spreadsheetml/2006/main" count="250">
  <r>
    <s v="H001"/>
    <x v="0"/>
    <x v="0"/>
    <n v="103"/>
    <n v="105"/>
    <x v="0"/>
    <x v="0"/>
  </r>
  <r>
    <s v="H002"/>
    <x v="1"/>
    <x v="1"/>
    <n v="115"/>
    <n v="79"/>
    <x v="1"/>
    <x v="1"/>
  </r>
  <r>
    <s v="H003"/>
    <x v="2"/>
    <x v="2"/>
    <n v="379"/>
    <n v="158"/>
    <x v="2"/>
    <x v="1"/>
  </r>
  <r>
    <s v="H004"/>
    <x v="0"/>
    <x v="3"/>
    <n v="435"/>
    <n v="54"/>
    <x v="1"/>
    <x v="2"/>
  </r>
  <r>
    <s v="H005"/>
    <x v="3"/>
    <x v="4"/>
    <n v="346"/>
    <n v="168"/>
    <x v="3"/>
    <x v="3"/>
  </r>
  <r>
    <s v="H006"/>
    <x v="2"/>
    <x v="5"/>
    <n v="357"/>
    <n v="82"/>
    <x v="4"/>
    <x v="4"/>
  </r>
  <r>
    <s v="H007"/>
    <x v="2"/>
    <x v="6"/>
    <n v="483"/>
    <n v="167"/>
    <x v="5"/>
    <x v="1"/>
  </r>
  <r>
    <s v="H008"/>
    <x v="0"/>
    <x v="7"/>
    <n v="259"/>
    <n v="114"/>
    <x v="6"/>
    <x v="2"/>
  </r>
  <r>
    <s v="H009"/>
    <x v="4"/>
    <x v="8"/>
    <n v="439"/>
    <n v="195"/>
    <x v="7"/>
    <x v="0"/>
  </r>
  <r>
    <s v="H010"/>
    <x v="3"/>
    <x v="9"/>
    <n v="251"/>
    <n v="60"/>
    <x v="2"/>
    <x v="5"/>
  </r>
  <r>
    <s v="H011"/>
    <x v="0"/>
    <x v="10"/>
    <n v="495"/>
    <n v="134"/>
    <x v="0"/>
    <x v="4"/>
  </r>
  <r>
    <s v="H012"/>
    <x v="3"/>
    <x v="11"/>
    <n v="277"/>
    <n v="75"/>
    <x v="8"/>
    <x v="6"/>
  </r>
  <r>
    <s v="H013"/>
    <x v="3"/>
    <x v="12"/>
    <n v="262"/>
    <n v="112"/>
    <x v="8"/>
    <x v="7"/>
  </r>
  <r>
    <s v="H014"/>
    <x v="2"/>
    <x v="13"/>
    <n v="479"/>
    <n v="135"/>
    <x v="9"/>
    <x v="7"/>
  </r>
  <r>
    <s v="H015"/>
    <x v="1"/>
    <x v="14"/>
    <n v="132"/>
    <n v="108"/>
    <x v="0"/>
    <x v="0"/>
  </r>
  <r>
    <s v="H016"/>
    <x v="3"/>
    <x v="15"/>
    <n v="278"/>
    <n v="76"/>
    <x v="4"/>
    <x v="8"/>
  </r>
  <r>
    <s v="H017"/>
    <x v="5"/>
    <x v="16"/>
    <n v="200"/>
    <n v="147"/>
    <x v="3"/>
    <x v="8"/>
  </r>
  <r>
    <s v="H018"/>
    <x v="2"/>
    <x v="17"/>
    <n v="367"/>
    <n v="154"/>
    <x v="1"/>
    <x v="0"/>
  </r>
  <r>
    <s v="H019"/>
    <x v="4"/>
    <x v="18"/>
    <n v="422"/>
    <n v="148"/>
    <x v="9"/>
    <x v="1"/>
  </r>
  <r>
    <s v="H020"/>
    <x v="1"/>
    <x v="19"/>
    <n v="164"/>
    <n v="178"/>
    <x v="8"/>
    <x v="3"/>
  </r>
  <r>
    <s v="H021"/>
    <x v="5"/>
    <x v="20"/>
    <n v="267"/>
    <n v="198"/>
    <x v="7"/>
    <x v="4"/>
  </r>
  <r>
    <s v="H022"/>
    <x v="5"/>
    <x v="21"/>
    <n v="429"/>
    <n v="104"/>
    <x v="7"/>
    <x v="7"/>
  </r>
  <r>
    <s v="H023"/>
    <x v="4"/>
    <x v="22"/>
    <n v="142"/>
    <n v="55"/>
    <x v="2"/>
    <x v="7"/>
  </r>
  <r>
    <s v="H024"/>
    <x v="1"/>
    <x v="23"/>
    <n v="143"/>
    <n v="144"/>
    <x v="4"/>
    <x v="3"/>
  </r>
  <r>
    <s v="H025"/>
    <x v="2"/>
    <x v="24"/>
    <n v="384"/>
    <n v="182"/>
    <x v="5"/>
    <x v="1"/>
  </r>
  <r>
    <s v="H026"/>
    <x v="6"/>
    <x v="25"/>
    <n v="496"/>
    <n v="151"/>
    <x v="8"/>
    <x v="7"/>
  </r>
  <r>
    <s v="H027"/>
    <x v="1"/>
    <x v="26"/>
    <n v="111"/>
    <n v="52"/>
    <x v="10"/>
    <x v="6"/>
  </r>
  <r>
    <s v="H028"/>
    <x v="4"/>
    <x v="27"/>
    <n v="194"/>
    <n v="72"/>
    <x v="4"/>
    <x v="4"/>
  </r>
  <r>
    <s v="H029"/>
    <x v="5"/>
    <x v="28"/>
    <n v="401"/>
    <n v="102"/>
    <x v="3"/>
    <x v="9"/>
  </r>
  <r>
    <s v="H030"/>
    <x v="2"/>
    <x v="29"/>
    <n v="485"/>
    <n v="132"/>
    <x v="1"/>
    <x v="7"/>
  </r>
  <r>
    <s v="H031"/>
    <x v="1"/>
    <x v="30"/>
    <n v="352"/>
    <n v="194"/>
    <x v="0"/>
    <x v="0"/>
  </r>
  <r>
    <s v="H032"/>
    <x v="6"/>
    <x v="31"/>
    <n v="341"/>
    <n v="134"/>
    <x v="8"/>
    <x v="6"/>
  </r>
  <r>
    <s v="H033"/>
    <x v="6"/>
    <x v="32"/>
    <n v="134"/>
    <n v="127"/>
    <x v="7"/>
    <x v="7"/>
  </r>
  <r>
    <s v="H034"/>
    <x v="3"/>
    <x v="33"/>
    <n v="314"/>
    <n v="159"/>
    <x v="0"/>
    <x v="10"/>
  </r>
  <r>
    <s v="H035"/>
    <x v="3"/>
    <x v="34"/>
    <n v="436"/>
    <n v="50"/>
    <x v="0"/>
    <x v="6"/>
  </r>
  <r>
    <s v="H036"/>
    <x v="0"/>
    <x v="35"/>
    <n v="189"/>
    <n v="100"/>
    <x v="0"/>
    <x v="2"/>
  </r>
  <r>
    <s v="H037"/>
    <x v="4"/>
    <x v="36"/>
    <n v="363"/>
    <n v="53"/>
    <x v="7"/>
    <x v="9"/>
  </r>
  <r>
    <s v="H038"/>
    <x v="1"/>
    <x v="37"/>
    <n v="192"/>
    <n v="162"/>
    <x v="3"/>
    <x v="11"/>
  </r>
  <r>
    <s v="H039"/>
    <x v="1"/>
    <x v="38"/>
    <n v="189"/>
    <n v="81"/>
    <x v="11"/>
    <x v="0"/>
  </r>
  <r>
    <s v="H040"/>
    <x v="0"/>
    <x v="39"/>
    <n v="214"/>
    <n v="83"/>
    <x v="12"/>
    <x v="0"/>
  </r>
  <r>
    <s v="H041"/>
    <x v="5"/>
    <x v="40"/>
    <n v="204"/>
    <n v="141"/>
    <x v="1"/>
    <x v="4"/>
  </r>
  <r>
    <s v="H042"/>
    <x v="5"/>
    <x v="41"/>
    <n v="490"/>
    <n v="144"/>
    <x v="10"/>
    <x v="3"/>
  </r>
  <r>
    <s v="H043"/>
    <x v="0"/>
    <x v="42"/>
    <n v="295"/>
    <n v="121"/>
    <x v="11"/>
    <x v="6"/>
  </r>
  <r>
    <s v="H044"/>
    <x v="5"/>
    <x v="43"/>
    <n v="413"/>
    <n v="88"/>
    <x v="1"/>
    <x v="1"/>
  </r>
  <r>
    <s v="H045"/>
    <x v="3"/>
    <x v="44"/>
    <n v="213"/>
    <n v="167"/>
    <x v="9"/>
    <x v="0"/>
  </r>
  <r>
    <s v="H046"/>
    <x v="1"/>
    <x v="45"/>
    <n v="174"/>
    <n v="52"/>
    <x v="4"/>
    <x v="6"/>
  </r>
  <r>
    <s v="H047"/>
    <x v="0"/>
    <x v="46"/>
    <n v="475"/>
    <n v="172"/>
    <x v="4"/>
    <x v="6"/>
  </r>
  <r>
    <s v="H048"/>
    <x v="1"/>
    <x v="47"/>
    <n v="316"/>
    <n v="99"/>
    <x v="6"/>
    <x v="10"/>
  </r>
  <r>
    <s v="H049"/>
    <x v="6"/>
    <x v="48"/>
    <n v="376"/>
    <n v="61"/>
    <x v="4"/>
    <x v="5"/>
  </r>
  <r>
    <s v="H050"/>
    <x v="3"/>
    <x v="49"/>
    <n v="348"/>
    <n v="103"/>
    <x v="7"/>
    <x v="5"/>
  </r>
  <r>
    <s v="H051"/>
    <x v="2"/>
    <x v="50"/>
    <n v="263"/>
    <n v="182"/>
    <x v="10"/>
    <x v="11"/>
  </r>
  <r>
    <s v="H052"/>
    <x v="3"/>
    <x v="51"/>
    <n v="493"/>
    <n v="106"/>
    <x v="5"/>
    <x v="2"/>
  </r>
  <r>
    <s v="H053"/>
    <x v="0"/>
    <x v="52"/>
    <n v="456"/>
    <n v="194"/>
    <x v="2"/>
    <x v="11"/>
  </r>
  <r>
    <s v="H054"/>
    <x v="2"/>
    <x v="53"/>
    <n v="291"/>
    <n v="161"/>
    <x v="6"/>
    <x v="7"/>
  </r>
  <r>
    <s v="H055"/>
    <x v="6"/>
    <x v="54"/>
    <n v="326"/>
    <n v="96"/>
    <x v="2"/>
    <x v="1"/>
  </r>
  <r>
    <s v="H056"/>
    <x v="0"/>
    <x v="55"/>
    <n v="276"/>
    <n v="200"/>
    <x v="1"/>
    <x v="7"/>
  </r>
  <r>
    <s v="H057"/>
    <x v="4"/>
    <x v="56"/>
    <n v="198"/>
    <n v="134"/>
    <x v="2"/>
    <x v="8"/>
  </r>
  <r>
    <s v="H058"/>
    <x v="1"/>
    <x v="57"/>
    <n v="135"/>
    <n v="191"/>
    <x v="2"/>
    <x v="7"/>
  </r>
  <r>
    <s v="H059"/>
    <x v="6"/>
    <x v="58"/>
    <n v="195"/>
    <n v="115"/>
    <x v="6"/>
    <x v="4"/>
  </r>
  <r>
    <s v="H060"/>
    <x v="1"/>
    <x v="59"/>
    <n v="251"/>
    <n v="124"/>
    <x v="9"/>
    <x v="7"/>
  </r>
  <r>
    <s v="H061"/>
    <x v="5"/>
    <x v="60"/>
    <n v="250"/>
    <n v="152"/>
    <x v="0"/>
    <x v="11"/>
  </r>
  <r>
    <s v="H062"/>
    <x v="4"/>
    <x v="61"/>
    <n v="289"/>
    <n v="87"/>
    <x v="4"/>
    <x v="0"/>
  </r>
  <r>
    <s v="H063"/>
    <x v="4"/>
    <x v="62"/>
    <n v="323"/>
    <n v="99"/>
    <x v="4"/>
    <x v="0"/>
  </r>
  <r>
    <s v="H064"/>
    <x v="6"/>
    <x v="63"/>
    <n v="136"/>
    <n v="147"/>
    <x v="7"/>
    <x v="5"/>
  </r>
  <r>
    <s v="H065"/>
    <x v="4"/>
    <x v="64"/>
    <n v="367"/>
    <n v="131"/>
    <x v="6"/>
    <x v="3"/>
  </r>
  <r>
    <s v="H066"/>
    <x v="2"/>
    <x v="65"/>
    <n v="468"/>
    <n v="79"/>
    <x v="7"/>
    <x v="1"/>
  </r>
  <r>
    <s v="H067"/>
    <x v="4"/>
    <x v="66"/>
    <n v="282"/>
    <n v="128"/>
    <x v="5"/>
    <x v="1"/>
  </r>
  <r>
    <s v="H068"/>
    <x v="1"/>
    <x v="67"/>
    <n v="112"/>
    <n v="140"/>
    <x v="5"/>
    <x v="4"/>
  </r>
  <r>
    <s v="H069"/>
    <x v="1"/>
    <x v="68"/>
    <n v="378"/>
    <n v="101"/>
    <x v="7"/>
    <x v="11"/>
  </r>
  <r>
    <s v="H070"/>
    <x v="0"/>
    <x v="69"/>
    <n v="316"/>
    <n v="128"/>
    <x v="6"/>
    <x v="5"/>
  </r>
  <r>
    <s v="H071"/>
    <x v="1"/>
    <x v="70"/>
    <n v="454"/>
    <n v="79"/>
    <x v="7"/>
    <x v="10"/>
  </r>
  <r>
    <s v="H072"/>
    <x v="0"/>
    <x v="71"/>
    <n v="460"/>
    <n v="155"/>
    <x v="4"/>
    <x v="8"/>
  </r>
  <r>
    <s v="H073"/>
    <x v="1"/>
    <x v="72"/>
    <n v="385"/>
    <n v="100"/>
    <x v="11"/>
    <x v="1"/>
  </r>
  <r>
    <s v="H074"/>
    <x v="2"/>
    <x v="73"/>
    <n v="372"/>
    <n v="130"/>
    <x v="12"/>
    <x v="0"/>
  </r>
  <r>
    <s v="H075"/>
    <x v="0"/>
    <x v="74"/>
    <n v="468"/>
    <n v="182"/>
    <x v="10"/>
    <x v="7"/>
  </r>
  <r>
    <s v="H076"/>
    <x v="3"/>
    <x v="75"/>
    <n v="161"/>
    <n v="78"/>
    <x v="2"/>
    <x v="7"/>
  </r>
  <r>
    <s v="H077"/>
    <x v="5"/>
    <x v="76"/>
    <n v="183"/>
    <n v="181"/>
    <x v="12"/>
    <x v="3"/>
  </r>
  <r>
    <s v="H078"/>
    <x v="6"/>
    <x v="77"/>
    <n v="467"/>
    <n v="187"/>
    <x v="6"/>
    <x v="5"/>
  </r>
  <r>
    <s v="H079"/>
    <x v="1"/>
    <x v="78"/>
    <n v="316"/>
    <n v="194"/>
    <x v="3"/>
    <x v="11"/>
  </r>
  <r>
    <s v="H080"/>
    <x v="4"/>
    <x v="79"/>
    <n v="441"/>
    <n v="123"/>
    <x v="12"/>
    <x v="11"/>
  </r>
  <r>
    <s v="H081"/>
    <x v="1"/>
    <x v="80"/>
    <n v="496"/>
    <n v="66"/>
    <x v="10"/>
    <x v="2"/>
  </r>
  <r>
    <s v="H082"/>
    <x v="4"/>
    <x v="81"/>
    <n v="286"/>
    <n v="133"/>
    <x v="5"/>
    <x v="9"/>
  </r>
  <r>
    <s v="H083"/>
    <x v="5"/>
    <x v="82"/>
    <n v="118"/>
    <n v="118"/>
    <x v="1"/>
    <x v="1"/>
  </r>
  <r>
    <s v="H084"/>
    <x v="5"/>
    <x v="83"/>
    <n v="276"/>
    <n v="83"/>
    <x v="2"/>
    <x v="11"/>
  </r>
  <r>
    <s v="H085"/>
    <x v="5"/>
    <x v="84"/>
    <n v="199"/>
    <n v="55"/>
    <x v="10"/>
    <x v="3"/>
  </r>
  <r>
    <s v="H086"/>
    <x v="4"/>
    <x v="85"/>
    <n v="495"/>
    <n v="102"/>
    <x v="0"/>
    <x v="0"/>
  </r>
  <r>
    <s v="H087"/>
    <x v="1"/>
    <x v="86"/>
    <n v="332"/>
    <n v="175"/>
    <x v="3"/>
    <x v="5"/>
  </r>
  <r>
    <s v="H088"/>
    <x v="5"/>
    <x v="87"/>
    <n v="175"/>
    <n v="92"/>
    <x v="6"/>
    <x v="8"/>
  </r>
  <r>
    <s v="H089"/>
    <x v="2"/>
    <x v="88"/>
    <n v="364"/>
    <n v="164"/>
    <x v="2"/>
    <x v="2"/>
  </r>
  <r>
    <s v="H090"/>
    <x v="0"/>
    <x v="89"/>
    <n v="383"/>
    <n v="160"/>
    <x v="12"/>
    <x v="3"/>
  </r>
  <r>
    <s v="H091"/>
    <x v="4"/>
    <x v="90"/>
    <n v="305"/>
    <n v="200"/>
    <x v="5"/>
    <x v="6"/>
  </r>
  <r>
    <s v="H092"/>
    <x v="4"/>
    <x v="91"/>
    <n v="322"/>
    <n v="129"/>
    <x v="9"/>
    <x v="4"/>
  </r>
  <r>
    <s v="H093"/>
    <x v="1"/>
    <x v="92"/>
    <n v="483"/>
    <n v="144"/>
    <x v="11"/>
    <x v="8"/>
  </r>
  <r>
    <s v="H094"/>
    <x v="4"/>
    <x v="93"/>
    <n v="151"/>
    <n v="167"/>
    <x v="0"/>
    <x v="6"/>
  </r>
  <r>
    <s v="H095"/>
    <x v="4"/>
    <x v="94"/>
    <n v="438"/>
    <n v="193"/>
    <x v="3"/>
    <x v="10"/>
  </r>
  <r>
    <s v="H096"/>
    <x v="5"/>
    <x v="95"/>
    <n v="466"/>
    <n v="57"/>
    <x v="11"/>
    <x v="7"/>
  </r>
  <r>
    <s v="H097"/>
    <x v="1"/>
    <x v="96"/>
    <n v="243"/>
    <n v="181"/>
    <x v="2"/>
    <x v="4"/>
  </r>
  <r>
    <s v="H098"/>
    <x v="5"/>
    <x v="97"/>
    <n v="472"/>
    <n v="153"/>
    <x v="5"/>
    <x v="1"/>
  </r>
  <r>
    <s v="H099"/>
    <x v="0"/>
    <x v="98"/>
    <n v="168"/>
    <n v="181"/>
    <x v="5"/>
    <x v="0"/>
  </r>
  <r>
    <s v="H100"/>
    <x v="0"/>
    <x v="99"/>
    <n v="198"/>
    <n v="74"/>
    <x v="10"/>
    <x v="4"/>
  </r>
  <r>
    <s v="H101"/>
    <x v="5"/>
    <x v="100"/>
    <n v="495"/>
    <n v="145"/>
    <x v="12"/>
    <x v="9"/>
  </r>
  <r>
    <s v="H102"/>
    <x v="0"/>
    <x v="101"/>
    <n v="124"/>
    <n v="142"/>
    <x v="10"/>
    <x v="6"/>
  </r>
  <r>
    <s v="H103"/>
    <x v="1"/>
    <x v="102"/>
    <n v="478"/>
    <n v="110"/>
    <x v="4"/>
    <x v="1"/>
  </r>
  <r>
    <s v="H104"/>
    <x v="6"/>
    <x v="103"/>
    <n v="152"/>
    <n v="171"/>
    <x v="12"/>
    <x v="9"/>
  </r>
  <r>
    <s v="H105"/>
    <x v="5"/>
    <x v="104"/>
    <n v="250"/>
    <n v="100"/>
    <x v="4"/>
    <x v="7"/>
  </r>
  <r>
    <s v="H106"/>
    <x v="2"/>
    <x v="105"/>
    <n v="243"/>
    <n v="196"/>
    <x v="10"/>
    <x v="9"/>
  </r>
  <r>
    <s v="H107"/>
    <x v="2"/>
    <x v="106"/>
    <n v="156"/>
    <n v="70"/>
    <x v="4"/>
    <x v="2"/>
  </r>
  <r>
    <s v="H108"/>
    <x v="4"/>
    <x v="107"/>
    <n v="138"/>
    <n v="54"/>
    <x v="0"/>
    <x v="2"/>
  </r>
  <r>
    <s v="H109"/>
    <x v="0"/>
    <x v="108"/>
    <n v="208"/>
    <n v="141"/>
    <x v="10"/>
    <x v="10"/>
  </r>
  <r>
    <s v="H110"/>
    <x v="2"/>
    <x v="109"/>
    <n v="280"/>
    <n v="110"/>
    <x v="12"/>
    <x v="5"/>
  </r>
  <r>
    <s v="H111"/>
    <x v="4"/>
    <x v="110"/>
    <n v="141"/>
    <n v="71"/>
    <x v="8"/>
    <x v="8"/>
  </r>
  <r>
    <s v="H112"/>
    <x v="6"/>
    <x v="111"/>
    <n v="285"/>
    <n v="198"/>
    <x v="10"/>
    <x v="8"/>
  </r>
  <r>
    <s v="H113"/>
    <x v="1"/>
    <x v="112"/>
    <n v="497"/>
    <n v="119"/>
    <x v="9"/>
    <x v="1"/>
  </r>
  <r>
    <s v="H114"/>
    <x v="1"/>
    <x v="113"/>
    <n v="322"/>
    <n v="50"/>
    <x v="3"/>
    <x v="7"/>
  </r>
  <r>
    <s v="H115"/>
    <x v="1"/>
    <x v="114"/>
    <n v="221"/>
    <n v="182"/>
    <x v="7"/>
    <x v="11"/>
  </r>
  <r>
    <s v="H116"/>
    <x v="2"/>
    <x v="115"/>
    <n v="232"/>
    <n v="61"/>
    <x v="7"/>
    <x v="10"/>
  </r>
  <r>
    <s v="H117"/>
    <x v="6"/>
    <x v="116"/>
    <n v="262"/>
    <n v="139"/>
    <x v="12"/>
    <x v="2"/>
  </r>
  <r>
    <s v="H118"/>
    <x v="2"/>
    <x v="117"/>
    <n v="314"/>
    <n v="95"/>
    <x v="12"/>
    <x v="1"/>
  </r>
  <r>
    <s v="H119"/>
    <x v="0"/>
    <x v="118"/>
    <n v="320"/>
    <n v="83"/>
    <x v="11"/>
    <x v="11"/>
  </r>
  <r>
    <s v="H120"/>
    <x v="2"/>
    <x v="119"/>
    <n v="334"/>
    <n v="127"/>
    <x v="3"/>
    <x v="8"/>
  </r>
  <r>
    <s v="H121"/>
    <x v="6"/>
    <x v="120"/>
    <n v="430"/>
    <n v="94"/>
    <x v="3"/>
    <x v="5"/>
  </r>
  <r>
    <s v="H122"/>
    <x v="6"/>
    <x v="121"/>
    <n v="245"/>
    <n v="122"/>
    <x v="0"/>
    <x v="9"/>
  </r>
  <r>
    <s v="H123"/>
    <x v="0"/>
    <x v="122"/>
    <n v="338"/>
    <n v="75"/>
    <x v="12"/>
    <x v="2"/>
  </r>
  <r>
    <s v="H124"/>
    <x v="6"/>
    <x v="123"/>
    <n v="175"/>
    <n v="96"/>
    <x v="3"/>
    <x v="1"/>
  </r>
  <r>
    <s v="H125"/>
    <x v="6"/>
    <x v="124"/>
    <n v="108"/>
    <n v="170"/>
    <x v="11"/>
    <x v="4"/>
  </r>
  <r>
    <s v="H126"/>
    <x v="1"/>
    <x v="125"/>
    <n v="173"/>
    <n v="105"/>
    <x v="4"/>
    <x v="11"/>
  </r>
  <r>
    <s v="H127"/>
    <x v="0"/>
    <x v="126"/>
    <n v="500"/>
    <n v="143"/>
    <x v="5"/>
    <x v="9"/>
  </r>
  <r>
    <s v="H128"/>
    <x v="3"/>
    <x v="127"/>
    <n v="352"/>
    <n v="156"/>
    <x v="5"/>
    <x v="2"/>
  </r>
  <r>
    <s v="H129"/>
    <x v="3"/>
    <x v="128"/>
    <n v="329"/>
    <n v="112"/>
    <x v="4"/>
    <x v="8"/>
  </r>
  <r>
    <s v="H130"/>
    <x v="6"/>
    <x v="129"/>
    <n v="106"/>
    <n v="97"/>
    <x v="6"/>
    <x v="3"/>
  </r>
  <r>
    <s v="H131"/>
    <x v="3"/>
    <x v="130"/>
    <n v="273"/>
    <n v="110"/>
    <x v="11"/>
    <x v="7"/>
  </r>
  <r>
    <s v="H132"/>
    <x v="3"/>
    <x v="131"/>
    <n v="240"/>
    <n v="130"/>
    <x v="3"/>
    <x v="11"/>
  </r>
  <r>
    <s v="H133"/>
    <x v="6"/>
    <x v="132"/>
    <n v="267"/>
    <n v="75"/>
    <x v="8"/>
    <x v="8"/>
  </r>
  <r>
    <s v="H134"/>
    <x v="3"/>
    <x v="133"/>
    <n v="269"/>
    <n v="85"/>
    <x v="11"/>
    <x v="2"/>
  </r>
  <r>
    <s v="H135"/>
    <x v="2"/>
    <x v="134"/>
    <n v="492"/>
    <n v="50"/>
    <x v="10"/>
    <x v="11"/>
  </r>
  <r>
    <s v="H136"/>
    <x v="4"/>
    <x v="135"/>
    <n v="382"/>
    <n v="57"/>
    <x v="4"/>
    <x v="10"/>
  </r>
  <r>
    <s v="H137"/>
    <x v="0"/>
    <x v="136"/>
    <n v="221"/>
    <n v="162"/>
    <x v="9"/>
    <x v="9"/>
  </r>
  <r>
    <s v="H138"/>
    <x v="4"/>
    <x v="137"/>
    <n v="293"/>
    <n v="148"/>
    <x v="1"/>
    <x v="2"/>
  </r>
  <r>
    <s v="H139"/>
    <x v="6"/>
    <x v="138"/>
    <n v="104"/>
    <n v="96"/>
    <x v="2"/>
    <x v="10"/>
  </r>
  <r>
    <s v="H140"/>
    <x v="1"/>
    <x v="139"/>
    <n v="128"/>
    <n v="176"/>
    <x v="4"/>
    <x v="6"/>
  </r>
  <r>
    <s v="H141"/>
    <x v="0"/>
    <x v="140"/>
    <n v="264"/>
    <n v="105"/>
    <x v="8"/>
    <x v="1"/>
  </r>
  <r>
    <s v="H142"/>
    <x v="6"/>
    <x v="141"/>
    <n v="438"/>
    <n v="63"/>
    <x v="3"/>
    <x v="3"/>
  </r>
  <r>
    <s v="H143"/>
    <x v="1"/>
    <x v="142"/>
    <n v="235"/>
    <n v="77"/>
    <x v="8"/>
    <x v="9"/>
  </r>
  <r>
    <s v="H144"/>
    <x v="4"/>
    <x v="143"/>
    <n v="464"/>
    <n v="127"/>
    <x v="8"/>
    <x v="11"/>
  </r>
  <r>
    <s v="H145"/>
    <x v="6"/>
    <x v="144"/>
    <n v="420"/>
    <n v="179"/>
    <x v="12"/>
    <x v="7"/>
  </r>
  <r>
    <s v="H146"/>
    <x v="0"/>
    <x v="145"/>
    <n v="441"/>
    <n v="158"/>
    <x v="12"/>
    <x v="8"/>
  </r>
  <r>
    <s v="H147"/>
    <x v="0"/>
    <x v="146"/>
    <n v="244"/>
    <n v="63"/>
    <x v="0"/>
    <x v="4"/>
  </r>
  <r>
    <s v="H148"/>
    <x v="5"/>
    <x v="147"/>
    <n v="426"/>
    <n v="105"/>
    <x v="4"/>
    <x v="8"/>
  </r>
  <r>
    <s v="H149"/>
    <x v="2"/>
    <x v="148"/>
    <n v="316"/>
    <n v="164"/>
    <x v="0"/>
    <x v="11"/>
  </r>
  <r>
    <s v="H150"/>
    <x v="3"/>
    <x v="149"/>
    <n v="400"/>
    <n v="56"/>
    <x v="4"/>
    <x v="3"/>
  </r>
  <r>
    <s v="H151"/>
    <x v="1"/>
    <x v="150"/>
    <n v="231"/>
    <n v="52"/>
    <x v="11"/>
    <x v="8"/>
  </r>
  <r>
    <s v="H152"/>
    <x v="5"/>
    <x v="151"/>
    <n v="391"/>
    <n v="160"/>
    <x v="2"/>
    <x v="1"/>
  </r>
  <r>
    <s v="H153"/>
    <x v="3"/>
    <x v="152"/>
    <n v="169"/>
    <n v="200"/>
    <x v="8"/>
    <x v="3"/>
  </r>
  <r>
    <s v="H154"/>
    <x v="3"/>
    <x v="153"/>
    <n v="351"/>
    <n v="156"/>
    <x v="11"/>
    <x v="2"/>
  </r>
  <r>
    <s v="H155"/>
    <x v="6"/>
    <x v="154"/>
    <n v="374"/>
    <n v="67"/>
    <x v="1"/>
    <x v="10"/>
  </r>
  <r>
    <s v="H156"/>
    <x v="3"/>
    <x v="155"/>
    <n v="463"/>
    <n v="87"/>
    <x v="5"/>
    <x v="4"/>
  </r>
  <r>
    <s v="H157"/>
    <x v="2"/>
    <x v="156"/>
    <n v="281"/>
    <n v="164"/>
    <x v="7"/>
    <x v="0"/>
  </r>
  <r>
    <s v="H158"/>
    <x v="0"/>
    <x v="157"/>
    <n v="266"/>
    <n v="64"/>
    <x v="10"/>
    <x v="11"/>
  </r>
  <r>
    <s v="H159"/>
    <x v="5"/>
    <x v="158"/>
    <n v="190"/>
    <n v="168"/>
    <x v="4"/>
    <x v="5"/>
  </r>
  <r>
    <s v="H160"/>
    <x v="3"/>
    <x v="159"/>
    <n v="301"/>
    <n v="77"/>
    <x v="1"/>
    <x v="0"/>
  </r>
  <r>
    <s v="H161"/>
    <x v="6"/>
    <x v="160"/>
    <n v="445"/>
    <n v="88"/>
    <x v="5"/>
    <x v="8"/>
  </r>
  <r>
    <s v="H162"/>
    <x v="2"/>
    <x v="161"/>
    <n v="118"/>
    <n v="66"/>
    <x v="3"/>
    <x v="11"/>
  </r>
  <r>
    <s v="H163"/>
    <x v="4"/>
    <x v="162"/>
    <n v="138"/>
    <n v="135"/>
    <x v="6"/>
    <x v="10"/>
  </r>
  <r>
    <s v="H164"/>
    <x v="0"/>
    <x v="163"/>
    <n v="225"/>
    <n v="175"/>
    <x v="2"/>
    <x v="6"/>
  </r>
  <r>
    <s v="H165"/>
    <x v="0"/>
    <x v="164"/>
    <n v="272"/>
    <n v="93"/>
    <x v="0"/>
    <x v="10"/>
  </r>
  <r>
    <s v="H166"/>
    <x v="5"/>
    <x v="165"/>
    <n v="240"/>
    <n v="74"/>
    <x v="0"/>
    <x v="5"/>
  </r>
  <r>
    <s v="H167"/>
    <x v="0"/>
    <x v="166"/>
    <n v="341"/>
    <n v="194"/>
    <x v="11"/>
    <x v="4"/>
  </r>
  <r>
    <s v="H168"/>
    <x v="3"/>
    <x v="167"/>
    <n v="319"/>
    <n v="62"/>
    <x v="12"/>
    <x v="10"/>
  </r>
  <r>
    <s v="H169"/>
    <x v="6"/>
    <x v="168"/>
    <n v="225"/>
    <n v="74"/>
    <x v="5"/>
    <x v="7"/>
  </r>
  <r>
    <s v="H170"/>
    <x v="0"/>
    <x v="169"/>
    <n v="157"/>
    <n v="117"/>
    <x v="6"/>
    <x v="6"/>
  </r>
  <r>
    <s v="H171"/>
    <x v="0"/>
    <x v="170"/>
    <n v="247"/>
    <n v="187"/>
    <x v="1"/>
    <x v="0"/>
  </r>
  <r>
    <s v="H172"/>
    <x v="4"/>
    <x v="171"/>
    <n v="416"/>
    <n v="116"/>
    <x v="2"/>
    <x v="2"/>
  </r>
  <r>
    <s v="H173"/>
    <x v="4"/>
    <x v="172"/>
    <n v="482"/>
    <n v="158"/>
    <x v="5"/>
    <x v="1"/>
  </r>
  <r>
    <s v="H174"/>
    <x v="1"/>
    <x v="173"/>
    <n v="460"/>
    <n v="195"/>
    <x v="6"/>
    <x v="7"/>
  </r>
  <r>
    <s v="H175"/>
    <x v="2"/>
    <x v="174"/>
    <n v="100"/>
    <n v="160"/>
    <x v="7"/>
    <x v="6"/>
  </r>
  <r>
    <s v="H176"/>
    <x v="3"/>
    <x v="175"/>
    <n v="486"/>
    <n v="160"/>
    <x v="4"/>
    <x v="2"/>
  </r>
  <r>
    <s v="H177"/>
    <x v="0"/>
    <x v="176"/>
    <n v="447"/>
    <n v="83"/>
    <x v="0"/>
    <x v="2"/>
  </r>
  <r>
    <s v="H178"/>
    <x v="0"/>
    <x v="177"/>
    <n v="289"/>
    <n v="160"/>
    <x v="1"/>
    <x v="11"/>
  </r>
  <r>
    <s v="H179"/>
    <x v="6"/>
    <x v="178"/>
    <n v="290"/>
    <n v="57"/>
    <x v="0"/>
    <x v="6"/>
  </r>
  <r>
    <s v="H180"/>
    <x v="1"/>
    <x v="179"/>
    <n v="468"/>
    <n v="162"/>
    <x v="1"/>
    <x v="4"/>
  </r>
  <r>
    <s v="H181"/>
    <x v="2"/>
    <x v="180"/>
    <n v="411"/>
    <n v="132"/>
    <x v="11"/>
    <x v="8"/>
  </r>
  <r>
    <s v="H182"/>
    <x v="1"/>
    <x v="181"/>
    <n v="216"/>
    <n v="91"/>
    <x v="12"/>
    <x v="5"/>
  </r>
  <r>
    <s v="H183"/>
    <x v="5"/>
    <x v="182"/>
    <n v="233"/>
    <n v="150"/>
    <x v="1"/>
    <x v="5"/>
  </r>
  <r>
    <s v="H184"/>
    <x v="2"/>
    <x v="183"/>
    <n v="157"/>
    <n v="55"/>
    <x v="0"/>
    <x v="0"/>
  </r>
  <r>
    <s v="H185"/>
    <x v="0"/>
    <x v="184"/>
    <n v="143"/>
    <n v="75"/>
    <x v="11"/>
    <x v="0"/>
  </r>
  <r>
    <s v="H186"/>
    <x v="0"/>
    <x v="185"/>
    <n v="272"/>
    <n v="113"/>
    <x v="1"/>
    <x v="5"/>
  </r>
  <r>
    <s v="H187"/>
    <x v="2"/>
    <x v="186"/>
    <n v="259"/>
    <n v="108"/>
    <x v="7"/>
    <x v="10"/>
  </r>
  <r>
    <s v="H188"/>
    <x v="0"/>
    <x v="187"/>
    <n v="272"/>
    <n v="158"/>
    <x v="12"/>
    <x v="4"/>
  </r>
  <r>
    <s v="H189"/>
    <x v="3"/>
    <x v="188"/>
    <n v="416"/>
    <n v="170"/>
    <x v="1"/>
    <x v="10"/>
  </r>
  <r>
    <s v="H190"/>
    <x v="2"/>
    <x v="189"/>
    <n v="402"/>
    <n v="82"/>
    <x v="11"/>
    <x v="10"/>
  </r>
  <r>
    <s v="H191"/>
    <x v="1"/>
    <x v="190"/>
    <n v="248"/>
    <n v="199"/>
    <x v="3"/>
    <x v="1"/>
  </r>
  <r>
    <s v="H192"/>
    <x v="2"/>
    <x v="191"/>
    <n v="179"/>
    <n v="70"/>
    <x v="5"/>
    <x v="9"/>
  </r>
  <r>
    <s v="H193"/>
    <x v="0"/>
    <x v="192"/>
    <n v="473"/>
    <n v="119"/>
    <x v="9"/>
    <x v="8"/>
  </r>
  <r>
    <s v="H194"/>
    <x v="3"/>
    <x v="193"/>
    <n v="312"/>
    <n v="161"/>
    <x v="6"/>
    <x v="1"/>
  </r>
  <r>
    <s v="H195"/>
    <x v="3"/>
    <x v="194"/>
    <n v="302"/>
    <n v="53"/>
    <x v="9"/>
    <x v="11"/>
  </r>
  <r>
    <s v="H196"/>
    <x v="5"/>
    <x v="195"/>
    <n v="351"/>
    <n v="143"/>
    <x v="3"/>
    <x v="9"/>
  </r>
  <r>
    <s v="H197"/>
    <x v="1"/>
    <x v="196"/>
    <n v="328"/>
    <n v="124"/>
    <x v="9"/>
    <x v="9"/>
  </r>
  <r>
    <s v="H198"/>
    <x v="4"/>
    <x v="197"/>
    <n v="263"/>
    <n v="111"/>
    <x v="3"/>
    <x v="6"/>
  </r>
  <r>
    <s v="H199"/>
    <x v="4"/>
    <x v="198"/>
    <n v="326"/>
    <n v="143"/>
    <x v="2"/>
    <x v="4"/>
  </r>
  <r>
    <s v="H200"/>
    <x v="2"/>
    <x v="199"/>
    <n v="246"/>
    <n v="144"/>
    <x v="3"/>
    <x v="4"/>
  </r>
  <r>
    <s v="H201"/>
    <x v="5"/>
    <x v="200"/>
    <n v="119"/>
    <n v="104"/>
    <x v="3"/>
    <x v="9"/>
  </r>
  <r>
    <s v="H202"/>
    <x v="6"/>
    <x v="201"/>
    <n v="146"/>
    <n v="186"/>
    <x v="8"/>
    <x v="10"/>
  </r>
  <r>
    <s v="H203"/>
    <x v="2"/>
    <x v="202"/>
    <n v="332"/>
    <n v="180"/>
    <x v="3"/>
    <x v="6"/>
  </r>
  <r>
    <s v="H204"/>
    <x v="5"/>
    <x v="203"/>
    <n v="404"/>
    <n v="80"/>
    <x v="7"/>
    <x v="8"/>
  </r>
  <r>
    <s v="H205"/>
    <x v="1"/>
    <x v="204"/>
    <n v="113"/>
    <n v="89"/>
    <x v="5"/>
    <x v="9"/>
  </r>
  <r>
    <s v="H206"/>
    <x v="1"/>
    <x v="205"/>
    <n v="242"/>
    <n v="85"/>
    <x v="4"/>
    <x v="7"/>
  </r>
  <r>
    <s v="H207"/>
    <x v="1"/>
    <x v="206"/>
    <n v="100"/>
    <n v="55"/>
    <x v="1"/>
    <x v="0"/>
  </r>
  <r>
    <s v="H208"/>
    <x v="1"/>
    <x v="207"/>
    <n v="472"/>
    <n v="115"/>
    <x v="6"/>
    <x v="0"/>
  </r>
  <r>
    <s v="H209"/>
    <x v="1"/>
    <x v="208"/>
    <n v="153"/>
    <n v="124"/>
    <x v="12"/>
    <x v="1"/>
  </r>
  <r>
    <s v="H210"/>
    <x v="5"/>
    <x v="209"/>
    <n v="473"/>
    <n v="53"/>
    <x v="5"/>
    <x v="11"/>
  </r>
  <r>
    <s v="H211"/>
    <x v="5"/>
    <x v="210"/>
    <n v="358"/>
    <n v="128"/>
    <x v="0"/>
    <x v="3"/>
  </r>
  <r>
    <s v="H212"/>
    <x v="3"/>
    <x v="211"/>
    <n v="243"/>
    <n v="183"/>
    <x v="4"/>
    <x v="3"/>
  </r>
  <r>
    <s v="H213"/>
    <x v="4"/>
    <x v="212"/>
    <n v="111"/>
    <n v="167"/>
    <x v="2"/>
    <x v="0"/>
  </r>
  <r>
    <s v="H214"/>
    <x v="0"/>
    <x v="213"/>
    <n v="429"/>
    <n v="162"/>
    <x v="2"/>
    <x v="2"/>
  </r>
  <r>
    <s v="H215"/>
    <x v="1"/>
    <x v="214"/>
    <n v="323"/>
    <n v="143"/>
    <x v="10"/>
    <x v="1"/>
  </r>
  <r>
    <s v="H216"/>
    <x v="6"/>
    <x v="215"/>
    <n v="371"/>
    <n v="111"/>
    <x v="3"/>
    <x v="3"/>
  </r>
  <r>
    <s v="H217"/>
    <x v="0"/>
    <x v="216"/>
    <n v="457"/>
    <n v="128"/>
    <x v="5"/>
    <x v="0"/>
  </r>
  <r>
    <s v="H218"/>
    <x v="5"/>
    <x v="217"/>
    <n v="255"/>
    <n v="185"/>
    <x v="11"/>
    <x v="11"/>
  </r>
  <r>
    <s v="H219"/>
    <x v="6"/>
    <x v="218"/>
    <n v="472"/>
    <n v="75"/>
    <x v="8"/>
    <x v="3"/>
  </r>
  <r>
    <s v="H220"/>
    <x v="6"/>
    <x v="219"/>
    <n v="107"/>
    <n v="93"/>
    <x v="9"/>
    <x v="10"/>
  </r>
  <r>
    <s v="H221"/>
    <x v="6"/>
    <x v="220"/>
    <n v="221"/>
    <n v="182"/>
    <x v="0"/>
    <x v="10"/>
  </r>
  <r>
    <s v="H222"/>
    <x v="3"/>
    <x v="221"/>
    <n v="447"/>
    <n v="119"/>
    <x v="2"/>
    <x v="4"/>
  </r>
  <r>
    <s v="H223"/>
    <x v="5"/>
    <x v="222"/>
    <n v="263"/>
    <n v="167"/>
    <x v="6"/>
    <x v="4"/>
  </r>
  <r>
    <s v="H224"/>
    <x v="6"/>
    <x v="223"/>
    <n v="189"/>
    <n v="117"/>
    <x v="2"/>
    <x v="8"/>
  </r>
  <r>
    <s v="H225"/>
    <x v="1"/>
    <x v="224"/>
    <n v="235"/>
    <n v="68"/>
    <x v="12"/>
    <x v="9"/>
  </r>
  <r>
    <s v="H226"/>
    <x v="2"/>
    <x v="225"/>
    <n v="285"/>
    <n v="69"/>
    <x v="1"/>
    <x v="7"/>
  </r>
  <r>
    <s v="H227"/>
    <x v="6"/>
    <x v="226"/>
    <n v="415"/>
    <n v="162"/>
    <x v="2"/>
    <x v="4"/>
  </r>
  <r>
    <s v="H228"/>
    <x v="3"/>
    <x v="227"/>
    <n v="277"/>
    <n v="189"/>
    <x v="12"/>
    <x v="3"/>
  </r>
  <r>
    <s v="H229"/>
    <x v="0"/>
    <x v="228"/>
    <n v="127"/>
    <n v="96"/>
    <x v="5"/>
    <x v="6"/>
  </r>
  <r>
    <s v="H230"/>
    <x v="5"/>
    <x v="229"/>
    <n v="319"/>
    <n v="50"/>
    <x v="5"/>
    <x v="0"/>
  </r>
  <r>
    <s v="H231"/>
    <x v="3"/>
    <x v="230"/>
    <n v="456"/>
    <n v="139"/>
    <x v="8"/>
    <x v="6"/>
  </r>
  <r>
    <s v="H232"/>
    <x v="6"/>
    <x v="231"/>
    <n v="140"/>
    <n v="191"/>
    <x v="10"/>
    <x v="11"/>
  </r>
  <r>
    <s v="H233"/>
    <x v="5"/>
    <x v="232"/>
    <n v="327"/>
    <n v="113"/>
    <x v="4"/>
    <x v="4"/>
  </r>
  <r>
    <s v="H234"/>
    <x v="2"/>
    <x v="233"/>
    <n v="291"/>
    <n v="87"/>
    <x v="2"/>
    <x v="7"/>
  </r>
  <r>
    <s v="H235"/>
    <x v="6"/>
    <x v="234"/>
    <n v="244"/>
    <n v="86"/>
    <x v="6"/>
    <x v="11"/>
  </r>
  <r>
    <s v="H236"/>
    <x v="3"/>
    <x v="235"/>
    <n v="300"/>
    <n v="175"/>
    <x v="2"/>
    <x v="2"/>
  </r>
  <r>
    <s v="H237"/>
    <x v="4"/>
    <x v="236"/>
    <n v="311"/>
    <n v="188"/>
    <x v="10"/>
    <x v="2"/>
  </r>
  <r>
    <s v="H238"/>
    <x v="1"/>
    <x v="237"/>
    <n v="319"/>
    <n v="149"/>
    <x v="6"/>
    <x v="6"/>
  </r>
  <r>
    <s v="H239"/>
    <x v="0"/>
    <x v="238"/>
    <n v="339"/>
    <n v="126"/>
    <x v="7"/>
    <x v="9"/>
  </r>
  <r>
    <s v="H240"/>
    <x v="3"/>
    <x v="239"/>
    <n v="496"/>
    <n v="52"/>
    <x v="3"/>
    <x v="1"/>
  </r>
  <r>
    <s v="H241"/>
    <x v="5"/>
    <x v="240"/>
    <n v="145"/>
    <n v="183"/>
    <x v="4"/>
    <x v="9"/>
  </r>
  <r>
    <s v="H242"/>
    <x v="6"/>
    <x v="241"/>
    <n v="134"/>
    <n v="59"/>
    <x v="7"/>
    <x v="3"/>
  </r>
  <r>
    <s v="H243"/>
    <x v="1"/>
    <x v="242"/>
    <n v="352"/>
    <n v="54"/>
    <x v="10"/>
    <x v="10"/>
  </r>
  <r>
    <s v="H244"/>
    <x v="6"/>
    <x v="243"/>
    <n v="489"/>
    <n v="200"/>
    <x v="2"/>
    <x v="8"/>
  </r>
  <r>
    <s v="H245"/>
    <x v="5"/>
    <x v="244"/>
    <n v="181"/>
    <n v="187"/>
    <x v="10"/>
    <x v="9"/>
  </r>
  <r>
    <s v="H246"/>
    <x v="6"/>
    <x v="245"/>
    <n v="470"/>
    <n v="179"/>
    <x v="10"/>
    <x v="8"/>
  </r>
  <r>
    <s v="H247"/>
    <x v="4"/>
    <x v="246"/>
    <n v="355"/>
    <n v="62"/>
    <x v="4"/>
    <x v="8"/>
  </r>
  <r>
    <s v="H248"/>
    <x v="1"/>
    <x v="247"/>
    <n v="296"/>
    <n v="179"/>
    <x v="7"/>
    <x v="7"/>
  </r>
  <r>
    <s v="H249"/>
    <x v="1"/>
    <x v="248"/>
    <n v="402"/>
    <n v="133"/>
    <x v="9"/>
    <x v="4"/>
  </r>
  <r>
    <s v="H250"/>
    <x v="5"/>
    <x v="249"/>
    <n v="109"/>
    <n v="114"/>
    <x v="2"/>
    <x v="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A3:C16" firstHeaderRow="0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51">
        <item t="data" sd="1" x="126"/>
        <item t="data" sd="1" x="4"/>
        <item t="data" sd="1" x="203"/>
        <item t="data" sd="1" x="38"/>
        <item t="data" sd="1" x="50"/>
        <item t="data" sd="1" x="75"/>
        <item t="data" sd="1" x="161"/>
        <item t="data" sd="1" x="73"/>
        <item t="data" sd="1" x="27"/>
        <item t="data" sd="1" x="80"/>
        <item t="data" sd="1" x="32"/>
        <item t="data" sd="1" x="183"/>
        <item t="data" sd="1" x="213"/>
        <item t="data" sd="1" x="125"/>
        <item t="data" sd="1" x="99"/>
        <item t="data" sd="1" x="85"/>
        <item t="data" sd="1" x="142"/>
        <item t="data" sd="1" x="62"/>
        <item t="data" sd="1" x="209"/>
        <item t="data" sd="1" x="69"/>
        <item t="data" sd="1" x="109"/>
        <item t="data" sd="1" x="153"/>
        <item t="data" sd="1" x="102"/>
        <item t="data" sd="1" x="201"/>
        <item t="data" sd="1" x="132"/>
        <item t="data" sd="1" x="63"/>
        <item t="data" sd="1" x="163"/>
        <item t="data" sd="1" x="96"/>
        <item t="data" sd="1" x="6"/>
        <item t="data" sd="1" x="57"/>
        <item t="data" sd="1" x="208"/>
        <item t="data" sd="1" x="39"/>
        <item t="data" sd="1" x="200"/>
        <item t="data" sd="1" x="34"/>
        <item t="data" sd="1" x="159"/>
        <item t="data" sd="1" x="226"/>
        <item t="data" sd="1" x="249"/>
        <item t="data" sd="1" x="217"/>
        <item t="data" sd="1" x="246"/>
        <item t="data" sd="1" x="131"/>
        <item t="data" sd="1" x="158"/>
        <item t="data" sd="1" x="147"/>
        <item t="data" sd="1" x="170"/>
        <item t="data" sd="1" x="143"/>
        <item t="data" sd="1" x="36"/>
        <item t="data" sd="1" x="31"/>
        <item t="data" sd="1" x="65"/>
        <item t="data" sd="1" x="14"/>
        <item t="data" sd="1" x="67"/>
        <item t="data" sd="1" x="223"/>
        <item t="data" sd="1" x="167"/>
        <item t="data" sd="1" x="214"/>
        <item t="data" sd="1" x="59"/>
        <item t="data" sd="1" x="180"/>
        <item t="data" sd="1" x="25"/>
        <item t="data" sd="1" x="48"/>
        <item t="data" sd="1" x="46"/>
        <item t="data" sd="1" x="206"/>
        <item t="data" sd="1" x="218"/>
        <item t="data" sd="1" x="194"/>
        <item t="data" sd="1" x="95"/>
        <item t="data" sd="1" x="144"/>
        <item t="data" sd="1" x="116"/>
        <item t="data" sd="1" x="124"/>
        <item t="data" sd="1" x="154"/>
        <item t="data" sd="1" x="182"/>
        <item t="data" sd="1" x="103"/>
        <item t="data" sd="1" x="94"/>
        <item t="data" sd="1" x="210"/>
        <item t="data" sd="1" x="52"/>
        <item t="data" sd="1" x="78"/>
        <item t="data" sd="1" x="43"/>
        <item t="data" sd="1" x="87"/>
        <item t="data" sd="1" x="21"/>
        <item t="data" sd="1" x="174"/>
        <item t="data" sd="1" x="240"/>
        <item t="data" sd="1" x="137"/>
        <item t="data" sd="1" x="245"/>
        <item t="data" sd="1" x="84"/>
        <item t="data" sd="1" x="1"/>
        <item t="data" sd="1" x="22"/>
        <item t="data" sd="1" x="15"/>
        <item t="data" sd="1" x="198"/>
        <item t="data" sd="1" x="10"/>
        <item t="data" sd="1" x="134"/>
        <item t="data" sd="1" x="239"/>
        <item t="data" sd="1" x="3"/>
        <item t="data" sd="1" x="150"/>
        <item t="data" sd="1" x="197"/>
        <item t="data" sd="1" x="233"/>
        <item t="data" sd="1" x="66"/>
        <item t="data" sd="1" x="216"/>
        <item t="data" sd="1" x="157"/>
        <item t="data" sd="1" x="53"/>
        <item t="data" sd="1" x="45"/>
        <item t="data" sd="1" x="104"/>
        <item t="data" sd="1" x="177"/>
        <item t="data" sd="1" x="51"/>
        <item t="data" sd="1" x="189"/>
        <item t="data" sd="1" x="168"/>
        <item t="data" sd="1" x="199"/>
        <item t="data" sd="1" x="121"/>
        <item t="data" sd="1" x="68"/>
        <item t="data" sd="1" x="136"/>
        <item t="data" sd="1" x="123"/>
        <item t="data" sd="1" x="135"/>
        <item t="data" sd="1" x="20"/>
        <item t="data" sd="1" x="30"/>
        <item t="data" sd="1" x="235"/>
        <item t="data" sd="1" x="145"/>
        <item t="data" sd="1" x="118"/>
        <item t="data" sd="1" x="140"/>
        <item t="data" sd="1" x="16"/>
        <item t="data" sd="1" x="37"/>
        <item t="data" sd="1" x="74"/>
        <item t="data" sd="1" x="83"/>
        <item t="data" sd="1" x="5"/>
        <item t="data" sd="1" x="41"/>
        <item t="data" sd="1" x="191"/>
        <item t="data" sd="1" x="108"/>
        <item t="data" sd="1" x="243"/>
        <item t="data" sd="1" x="110"/>
        <item t="data" sd="1" x="92"/>
        <item t="data" sd="1" x="248"/>
        <item t="data" sd="1" x="23"/>
        <item t="data" sd="1" x="58"/>
        <item t="data" sd="1" x="56"/>
        <item t="data" sd="1" x="117"/>
        <item t="data" sd="1" x="119"/>
        <item t="data" sd="1" x="234"/>
        <item t="data" sd="1" x="90"/>
        <item t="data" sd="1" x="228"/>
        <item t="data" sd="1" x="148"/>
        <item t="data" sd="1" x="127"/>
        <item t="data" sd="1" x="93"/>
        <item t="data" sd="1" x="211"/>
        <item t="data" sd="1" x="112"/>
        <item t="data" sd="1" x="207"/>
        <item t="data" sd="1" x="88"/>
        <item t="data" sd="1" x="8"/>
        <item t="data" sd="1" x="47"/>
        <item t="data" sd="1" x="77"/>
        <item t="data" sd="1" x="120"/>
        <item t="data" sd="1" x="42"/>
        <item t="data" sd="1" x="98"/>
        <item t="data" sd="1" x="72"/>
        <item t="data" sd="1" x="106"/>
        <item t="data" sd="1" x="184"/>
        <item t="data" sd="1" x="105"/>
        <item t="data" sd="1" x="155"/>
        <item t="data" sd="1" x="172"/>
        <item t="data" sd="1" x="26"/>
        <item t="data" sd="1" x="82"/>
        <item t="data" sd="1" x="173"/>
        <item t="data" sd="1" x="133"/>
        <item t="data" sd="1" x="9"/>
        <item t="data" sd="1" x="156"/>
        <item t="data" sd="1" x="230"/>
        <item t="data" sd="1" x="60"/>
        <item t="data" sd="1" x="24"/>
        <item t="data" sd="1" x="139"/>
        <item t="data" sd="1" x="202"/>
        <item t="data" sd="1" x="18"/>
        <item t="data" sd="1" x="13"/>
        <item t="data" sd="1" x="171"/>
        <item t="data" sd="1" x="179"/>
        <item t="data" sd="1" x="215"/>
        <item t="data" sd="1" x="70"/>
        <item t="data" sd="1" x="185"/>
        <item t="data" sd="1" x="107"/>
        <item t="data" sd="1" x="129"/>
        <item t="data" sd="1" x="227"/>
        <item t="data" sd="1" x="152"/>
        <item t="data" sd="1" x="175"/>
        <item t="data" sd="1" x="7"/>
        <item t="data" sd="1" x="166"/>
        <item t="data" sd="1" x="188"/>
        <item t="data" sd="1" x="28"/>
        <item t="data" sd="1" x="115"/>
        <item t="data" sd="1" x="212"/>
        <item t="data" sd="1" x="237"/>
        <item t="data" sd="1" x="176"/>
        <item t="data" sd="1" x="113"/>
        <item t="data" sd="1" x="146"/>
        <item t="data" sd="1" x="187"/>
        <item t="data" sd="1" x="86"/>
        <item t="data" sd="1" x="64"/>
        <item t="data" sd="1" x="238"/>
        <item t="data" sd="1" x="219"/>
        <item t="data" sd="1" x="247"/>
        <item t="data" sd="1" x="232"/>
        <item t="data" sd="1" x="44"/>
        <item t="data" sd="1" x="81"/>
        <item t="data" sd="1" x="71"/>
        <item t="data" sd="1" x="225"/>
        <item t="data" sd="1" x="54"/>
        <item t="data" sd="1" x="236"/>
        <item t="data" sd="1" x="122"/>
        <item t="data" sd="1" x="11"/>
        <item t="data" sd="1" x="0"/>
        <item t="data" sd="1" x="244"/>
        <item t="data" sd="1" x="130"/>
        <item t="data" sd="1" x="19"/>
        <item t="data" sd="1" x="138"/>
        <item t="data" sd="1" x="128"/>
        <item t="data" sd="1" x="149"/>
        <item t="data" sd="1" x="186"/>
        <item t="data" sd="1" x="205"/>
        <item t="data" sd="1" x="61"/>
        <item t="data" sd="1" x="2"/>
        <item t="data" sd="1" x="221"/>
        <item t="data" sd="1" x="33"/>
        <item t="data" sd="1" x="17"/>
        <item t="data" sd="1" x="181"/>
        <item t="data" sd="1" x="242"/>
        <item t="data" sd="1" x="76"/>
        <item t="data" sd="1" x="222"/>
        <item t="data" sd="1" x="190"/>
        <item t="data" sd="1" x="164"/>
        <item t="data" sd="1" x="91"/>
        <item t="data" sd="1" x="89"/>
        <item t="data" sd="1" x="178"/>
        <item t="data" sd="1" x="160"/>
        <item t="data" sd="1" x="12"/>
        <item t="data" sd="1" x="35"/>
        <item t="data" sd="1" x="29"/>
        <item t="data" sd="1" x="192"/>
        <item t="data" sd="1" x="55"/>
        <item t="data" sd="1" x="224"/>
        <item t="data" sd="1" x="141"/>
        <item t="data" sd="1" x="193"/>
        <item t="data" sd="1" x="40"/>
        <item t="data" sd="1" x="220"/>
        <item t="data" sd="1" x="114"/>
        <item t="data" sd="1" x="195"/>
        <item t="data" sd="1" x="100"/>
        <item t="data" sd="1" x="111"/>
        <item t="data" sd="1" x="204"/>
        <item t="data" sd="1" x="101"/>
        <item t="data" sd="1" x="165"/>
        <item t="data" sd="1" x="49"/>
        <item t="data" sd="1" x="79"/>
        <item t="data" sd="1" x="162"/>
        <item t="data" sd="1" x="151"/>
        <item t="data" sd="1" x="169"/>
        <item t="data" sd="1" x="231"/>
        <item t="data" sd="1" x="229"/>
        <item t="data" sd="1" x="241"/>
        <item t="data" sd="1" x="196"/>
        <item t="data" sd="1" x="97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4"/>
        <item t="data" sd="1" x="1"/>
        <item t="data" sd="1" x="0"/>
        <item t="data" sd="1" x="5"/>
        <item t="data" sd="1" x="11"/>
        <item t="data" sd="1" x="2"/>
        <item t="data" sd="1" x="7"/>
        <item t="data" sd="1" x="6"/>
        <item t="data" sd="1" x="9"/>
        <item t="data" sd="1" x="8"/>
        <item t="data" sd="1" x="10"/>
        <item t="data" sd="1" x="3"/>
        <item t="default" sd="1"/>
      </items>
    </pivotField>
  </pivotFields>
  <rowFields count="1">
    <field x="6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verage of Gas_Usage" fld="4" subtotal="average" showDataAs="normal" baseField="6" baseItem="2"/>
    <dataField name="Average of Electricity_Usage (kWh)" fld="3" subtotal="average" showDataAs="normal" baseField="2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4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6" rowHeaderCaption="Appliances_Count" fieldListSortAscending="0" mdxSubqueries="0" applyNumberFormats="0" applyBorderFormats="0" applyFontFormats="0" applyPatternFormats="0" applyAlignmentFormats="0" applyWidthHeightFormats="1" r:id="rId1">
  <location ref="E3:F1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2"/>
        <item t="data" sd="1" x="9"/>
        <item t="data" sd="1" x="7"/>
        <item t="data" sd="1" x="12"/>
        <item t="data" sd="1" x="0"/>
        <item t="data" sd="1" x="5"/>
        <item t="data" sd="1" x="6"/>
        <item t="data" sd="1" x="4"/>
        <item t="data" sd="1" x="1"/>
        <item t="data" sd="1" x="11"/>
        <item t="data" sd="1" x="3"/>
        <item t="data" sd="1" x="8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grand" r="0" i="0">
      <x v="0"/>
    </i>
  </rowItems>
  <colItems count="1">
    <i t="data" r="0" i="0"/>
  </colItems>
  <dataFields count="1">
    <dataField name="Average of Electricity_Usage (kWh)" fld="3" subtotal="average" showDataAs="normal" baseField="5" baseItem="0"/>
  </dataFields>
  <chartFormats count="5"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4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rowHeaderCaption="Family size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6"/>
        <item t="data" sd="1" x="4"/>
        <item t="data" sd="1" x="3"/>
        <item t="data" sd="1" x="1"/>
        <item t="data" sd="1" x="2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4">
        <item t="data" sd="1" x="2"/>
        <item t="data" sd="1" x="9"/>
        <item t="data" sd="1" x="7"/>
        <item t="data" sd="1" x="12"/>
        <item t="data" sd="1" x="0"/>
        <item t="data" sd="1" x="5"/>
        <item t="data" sd="1" x="6"/>
        <item t="data" sd="1" x="4"/>
        <item t="data" sd="1" x="1"/>
        <item t="data" sd="1" x="11"/>
        <item t="data" sd="1" x="3"/>
        <item t="data" sd="1" x="8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Average of Electricity_Usage (kWh)" fld="3" subtotal="average" showDataAs="normal" baseField="1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rowHeaderCaption="Income_Level" fieldListSortAscending="0" mdxSubqueries="0" applyNumberFormats="0" applyBorderFormats="0" applyFontFormats="0" applyPatternFormats="0" applyAlignmentFormats="0" applyWidthHeightFormats="1" r:id="rId1">
  <location ref="A15:B19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h="1" sd="1" x="3"/>
        <item t="default" sd="1"/>
      </items>
    </pivotField>
  </pivotFields>
  <rowFields count="1">
    <field x="7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Average of Electricity_Usage (kWh)" fld="3" subtotal="average" showDataAs="normal" baseField="7" baseItem="0"/>
  </dataFields>
  <chartFormats count="5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6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3" format="7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3" format="8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251" headerRowCount="1" totalsRowShown="0">
  <tableColumns count="8">
    <tableColumn id="1" name="Household_ID"/>
    <tableColumn id="2" name="Family_Size"/>
    <tableColumn id="3" name="Monthly_Income"/>
    <tableColumn id="4" name="Electricity_Usage (kWh)"/>
    <tableColumn id="5" name="Gas_Usage"/>
    <tableColumn id="6" name="Appliances_Count"/>
    <tableColumn id="7" name="Month"/>
    <tableColumn id="8" name="Income_Level" dataDxfId="13">
      <calculatedColumnFormula>IF(C2&lt;40000,"Low",IF(C2&lt;=70000,"Middle","High"))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5:G9" headerRowCount="1" totalsRowShown="0" headerRowDxfId="12" dataDxfId="11">
  <tableColumns count="2">
    <tableColumn id="1" name="Data Quality Check" dataDxfId="10"/>
    <tableColumn id="2" name="Result" dataDxfId="9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B13" headerRowCount="1" totalsRowShown="0" headerRowDxfId="8" dataDxfId="7">
  <tableColumns count="2">
    <tableColumn id="1" name="Metric" dataDxfId="6"/>
    <tableColumn id="2" name="Value" dataDxfId="5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G6:H14" headerRowCount="1" totalsRowShown="0" headerRowDxfId="4" dataDxfId="3">
  <tableColumns count="2">
    <tableColumn id="1" name="A" dataDxfId="2"/>
    <tableColumn id="2" name="B" dataDxfId="1">
      <calculatedColumnFormula>AVERAGE(Raw_Data!D2:D251)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pivotTable" Target="/xl/pivotTables/pivotTable1.xml" Id="rId2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2.xml" Id="rId1"/><Relationship Type="http://schemas.openxmlformats.org/officeDocument/2006/relationships/pivotTable" Target="/xl/pivotTables/pivotTable3.xml" Id="rId2"/><Relationship Type="http://schemas.openxmlformats.org/officeDocument/2006/relationships/pivotTable" Target="/xl/pivotTables/pivotTable4.xml" Id="rId3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showGridLines="0" tabSelected="1" workbookViewId="0">
      <pane ySplit="1" topLeftCell="A2" activePane="bottomLeft" state="frozen"/>
      <selection pane="bottomLeft" activeCell="H10" sqref="H10"/>
    </sheetView>
  </sheetViews>
  <sheetFormatPr baseColWidth="8" defaultRowHeight="14.5"/>
  <cols>
    <col width="14" customWidth="1" style="13" min="1" max="1"/>
    <col width="12.1796875" customWidth="1" style="13" min="2" max="2"/>
    <col width="16" customWidth="1" style="13" min="3" max="3"/>
    <col width="22" customWidth="1" style="13" min="4" max="4"/>
    <col width="11.90625" customWidth="1" style="13" min="5" max="5"/>
    <col width="17.453125" customWidth="1" style="13" min="6" max="6"/>
    <col width="17.453125" customWidth="1" style="13" min="8" max="8"/>
  </cols>
  <sheetData>
    <row r="1" ht="24" customHeight="1" s="13">
      <c r="A1" s="16" t="inlineStr">
        <is>
          <t>Household_ID</t>
        </is>
      </c>
      <c r="B1" s="16" t="inlineStr">
        <is>
          <t>Family_Size</t>
        </is>
      </c>
      <c r="C1" s="16" t="inlineStr">
        <is>
          <t>Monthly_Income</t>
        </is>
      </c>
      <c r="D1" s="16" t="inlineStr">
        <is>
          <t>Electricity_Usage (kWh)</t>
        </is>
      </c>
      <c r="E1" s="16" t="inlineStr">
        <is>
          <t>Gas_Usage</t>
        </is>
      </c>
      <c r="F1" s="16" t="inlineStr">
        <is>
          <t>Appliances_Count</t>
        </is>
      </c>
      <c r="G1" s="16" t="inlineStr">
        <is>
          <t>Month</t>
        </is>
      </c>
      <c r="H1" s="16" t="inlineStr">
        <is>
          <t>Income_Level</t>
        </is>
      </c>
    </row>
    <row r="2">
      <c r="A2" s="17" t="inlineStr">
        <is>
          <t>H001</t>
        </is>
      </c>
      <c r="B2" s="17" t="n">
        <v>7</v>
      </c>
      <c r="C2" s="18" t="n">
        <v>85318</v>
      </c>
      <c r="D2" s="19" t="n">
        <v>103</v>
      </c>
      <c r="E2" s="19" t="n">
        <v>105</v>
      </c>
      <c r="F2" s="20" t="n">
        <v>6</v>
      </c>
      <c r="G2" s="17" t="inlineStr">
        <is>
          <t>Mar</t>
        </is>
      </c>
      <c r="H2" s="17">
        <f>IF(C2&lt;40000,"Low",IF(C2&lt;=70000,"Middle","High"))</f>
        <v/>
      </c>
    </row>
    <row r="3">
      <c r="A3" t="inlineStr">
        <is>
          <t>H002</t>
        </is>
      </c>
      <c r="B3" t="n">
        <v>4</v>
      </c>
      <c r="C3" s="21" t="n">
        <v>43664</v>
      </c>
      <c r="D3" s="22" t="n">
        <v>115</v>
      </c>
      <c r="E3" s="22" t="n">
        <v>79</v>
      </c>
      <c r="F3" s="23" t="n">
        <v>10</v>
      </c>
      <c r="G3" t="inlineStr">
        <is>
          <t>Feb</t>
        </is>
      </c>
      <c r="H3">
        <f>IF(C3&lt;40000,"Low",IF(C3&lt;=70000,"Middle","High"))</f>
        <v/>
      </c>
    </row>
    <row r="4">
      <c r="A4" s="17" t="inlineStr">
        <is>
          <t>H003</t>
        </is>
      </c>
      <c r="B4" s="17" t="n">
        <v>5</v>
      </c>
      <c r="C4" s="18" t="n">
        <v>87172</v>
      </c>
      <c r="D4" s="19" t="n">
        <v>379</v>
      </c>
      <c r="E4" s="19" t="n">
        <v>158</v>
      </c>
      <c r="F4" s="20" t="n">
        <v>2</v>
      </c>
      <c r="G4" s="17" t="inlineStr">
        <is>
          <t>Feb</t>
        </is>
      </c>
      <c r="H4" s="17">
        <f>IF(C4&lt;40000,"Low",IF(C4&lt;=70000,"Middle","High"))</f>
        <v/>
      </c>
    </row>
    <row r="5">
      <c r="A5" t="inlineStr">
        <is>
          <t>H004</t>
        </is>
      </c>
      <c r="B5" t="n">
        <v>7</v>
      </c>
      <c r="C5" s="21" t="n">
        <v>46736</v>
      </c>
      <c r="D5" s="22" t="n">
        <v>435</v>
      </c>
      <c r="E5" s="22" t="n">
        <v>54</v>
      </c>
      <c r="F5" s="23" t="n">
        <v>10</v>
      </c>
      <c r="G5" t="inlineStr">
        <is>
          <t>Jun</t>
        </is>
      </c>
      <c r="H5">
        <f>IF(C5&lt;40000,"Low",IF(C5&lt;=70000,"Middle","High"))</f>
        <v/>
      </c>
    </row>
    <row r="6">
      <c r="A6" s="17" t="inlineStr">
        <is>
          <t>H005</t>
        </is>
      </c>
      <c r="B6" s="17" t="n">
        <v>3</v>
      </c>
      <c r="C6" s="18" t="n">
        <v>20854</v>
      </c>
      <c r="D6" s="19" t="n">
        <v>346</v>
      </c>
      <c r="E6" s="19" t="n">
        <v>168</v>
      </c>
      <c r="F6" s="20" t="n">
        <v>12</v>
      </c>
      <c r="G6" s="17" t="inlineStr">
        <is>
          <t>Dec</t>
        </is>
      </c>
      <c r="H6" s="17">
        <f>IF(C6&lt;40000,"Low",IF(C6&lt;=70000,"Middle","High"))</f>
        <v/>
      </c>
    </row>
    <row r="7">
      <c r="A7" t="inlineStr">
        <is>
          <t>H006</t>
        </is>
      </c>
      <c r="B7" t="n">
        <v>5</v>
      </c>
      <c r="C7" s="21" t="n">
        <v>58623</v>
      </c>
      <c r="D7" s="22" t="n">
        <v>357</v>
      </c>
      <c r="E7" s="22" t="n">
        <v>82</v>
      </c>
      <c r="F7" s="23" t="n">
        <v>9</v>
      </c>
      <c r="G7" t="inlineStr">
        <is>
          <t>Jan</t>
        </is>
      </c>
      <c r="H7">
        <f>IF(C7&lt;40000,"Low",IF(C7&lt;=70000,"Middle","High"))</f>
        <v/>
      </c>
    </row>
    <row r="8">
      <c r="A8" s="17" t="inlineStr">
        <is>
          <t>H007</t>
        </is>
      </c>
      <c r="B8" s="17" t="n">
        <v>5</v>
      </c>
      <c r="C8" s="18" t="n">
        <v>27392</v>
      </c>
      <c r="D8" s="19" t="n">
        <v>483</v>
      </c>
      <c r="E8" s="19" t="n">
        <v>167</v>
      </c>
      <c r="F8" s="20" t="n">
        <v>7</v>
      </c>
      <c r="G8" s="17" t="inlineStr">
        <is>
          <t>Feb</t>
        </is>
      </c>
      <c r="H8" s="17">
        <f>IF(C8&lt;40000,"Low",IF(C8&lt;=70000,"Middle","High"))</f>
        <v/>
      </c>
    </row>
    <row r="9">
      <c r="A9" t="inlineStr">
        <is>
          <t>H008</t>
        </is>
      </c>
      <c r="B9" t="n">
        <v>7</v>
      </c>
      <c r="C9" s="21" t="n">
        <v>75680</v>
      </c>
      <c r="D9" s="22" t="n">
        <v>259</v>
      </c>
      <c r="E9" s="22" t="n">
        <v>114</v>
      </c>
      <c r="F9" s="23" t="n">
        <v>8</v>
      </c>
      <c r="G9" t="inlineStr">
        <is>
          <t>Jun</t>
        </is>
      </c>
      <c r="H9">
        <f>IF(C9&lt;40000,"Low",IF(C9&lt;=70000,"Middle","High"))</f>
        <v/>
      </c>
    </row>
    <row r="10">
      <c r="A10" s="17" t="inlineStr">
        <is>
          <t>H009</t>
        </is>
      </c>
      <c r="B10" s="17" t="n">
        <v>2</v>
      </c>
      <c r="C10" s="18" t="n">
        <v>66717</v>
      </c>
      <c r="D10" s="19" t="n">
        <v>439</v>
      </c>
      <c r="E10" s="19" t="n">
        <v>195</v>
      </c>
      <c r="F10" s="20" t="n">
        <v>4</v>
      </c>
      <c r="G10" s="17" t="inlineStr">
        <is>
          <t>Mar</t>
        </is>
      </c>
      <c r="H10" s="17">
        <f>IF(C10&lt;40000,"Low",IF(C10&lt;=70000,"Middle","High"))</f>
        <v/>
      </c>
    </row>
    <row r="11">
      <c r="A11" t="inlineStr">
        <is>
          <t>H010</t>
        </is>
      </c>
      <c r="B11" t="n">
        <v>3</v>
      </c>
      <c r="C11" s="21" t="n">
        <v>70859</v>
      </c>
      <c r="D11" s="22" t="n">
        <v>251</v>
      </c>
      <c r="E11" s="22" t="n">
        <v>60</v>
      </c>
      <c r="F11" s="23" t="n">
        <v>2</v>
      </c>
      <c r="G11" t="inlineStr">
        <is>
          <t>Apr</t>
        </is>
      </c>
      <c r="H11">
        <f>IF(C11&lt;40000,"Low",IF(C11&lt;=70000,"Middle","High"))</f>
        <v/>
      </c>
    </row>
    <row r="12">
      <c r="A12" s="17" t="inlineStr">
        <is>
          <t>H011</t>
        </is>
      </c>
      <c r="B12" s="17" t="n">
        <v>7</v>
      </c>
      <c r="C12" s="18" t="n">
        <v>46309</v>
      </c>
      <c r="D12" s="19" t="n">
        <v>495</v>
      </c>
      <c r="E12" s="19" t="n">
        <v>134</v>
      </c>
      <c r="F12" s="20" t="n">
        <v>6</v>
      </c>
      <c r="G12" s="17" t="inlineStr">
        <is>
          <t>Jan</t>
        </is>
      </c>
      <c r="H12" s="17">
        <f>IF(C12&lt;40000,"Low",IF(C12&lt;=70000,"Middle","High"))</f>
        <v/>
      </c>
    </row>
    <row r="13">
      <c r="A13" t="inlineStr">
        <is>
          <t>H012</t>
        </is>
      </c>
      <c r="B13" t="n">
        <v>3</v>
      </c>
      <c r="C13" s="21" t="n">
        <v>83734</v>
      </c>
      <c r="D13" s="22" t="n">
        <v>277</v>
      </c>
      <c r="E13" s="22" t="n">
        <v>75</v>
      </c>
      <c r="F13" s="23" t="n">
        <v>13</v>
      </c>
      <c r="G13" t="inlineStr">
        <is>
          <t>Aug</t>
        </is>
      </c>
      <c r="H13">
        <f>IF(C13&lt;40000,"Low",IF(C13&lt;=70000,"Middle","High"))</f>
        <v/>
      </c>
    </row>
    <row r="14">
      <c r="A14" s="17" t="inlineStr">
        <is>
          <t>H013</t>
        </is>
      </c>
      <c r="B14" s="17" t="n">
        <v>3</v>
      </c>
      <c r="C14" s="18" t="n">
        <v>90467</v>
      </c>
      <c r="D14" s="19" t="n">
        <v>262</v>
      </c>
      <c r="E14" s="19" t="n">
        <v>112</v>
      </c>
      <c r="F14" s="20" t="n">
        <v>13</v>
      </c>
      <c r="G14" s="17" t="inlineStr">
        <is>
          <t>Jul</t>
        </is>
      </c>
      <c r="H14" s="17">
        <f>IF(C14&lt;40000,"Low",IF(C14&lt;=70000,"Middle","High"))</f>
        <v/>
      </c>
    </row>
    <row r="15">
      <c r="A15" t="inlineStr">
        <is>
          <t>H014</t>
        </is>
      </c>
      <c r="B15" t="n">
        <v>5</v>
      </c>
      <c r="C15" s="21" t="n">
        <v>72662</v>
      </c>
      <c r="D15" s="22" t="n">
        <v>479</v>
      </c>
      <c r="E15" s="22" t="n">
        <v>135</v>
      </c>
      <c r="F15" s="23" t="n">
        <v>3</v>
      </c>
      <c r="G15" t="inlineStr">
        <is>
          <t>Jul</t>
        </is>
      </c>
      <c r="H15">
        <f>IF(C15&lt;40000,"Low",IF(C15&lt;=70000,"Middle","High"))</f>
        <v/>
      </c>
    </row>
    <row r="16">
      <c r="A16" s="17" t="inlineStr">
        <is>
          <t>H015</t>
        </is>
      </c>
      <c r="B16" s="17" t="n">
        <v>4</v>
      </c>
      <c r="C16" s="18" t="n">
        <v>32688</v>
      </c>
      <c r="D16" s="19" t="n">
        <v>132</v>
      </c>
      <c r="E16" s="19" t="n">
        <v>108</v>
      </c>
      <c r="F16" s="20" t="n">
        <v>6</v>
      </c>
      <c r="G16" s="17" t="inlineStr">
        <is>
          <t>Mar</t>
        </is>
      </c>
      <c r="H16" s="17">
        <f>IF(C16&lt;40000,"Low",IF(C16&lt;=70000,"Middle","High"))</f>
        <v/>
      </c>
    </row>
    <row r="17">
      <c r="A17" t="inlineStr">
        <is>
          <t>H016</t>
        </is>
      </c>
      <c r="B17" t="n">
        <v>3</v>
      </c>
      <c r="C17" s="21" t="n">
        <v>45342</v>
      </c>
      <c r="D17" s="22" t="n">
        <v>278</v>
      </c>
      <c r="E17" s="22" t="n">
        <v>76</v>
      </c>
      <c r="F17" s="23" t="n">
        <v>9</v>
      </c>
      <c r="G17" t="inlineStr">
        <is>
          <t>Oct</t>
        </is>
      </c>
      <c r="H17">
        <f>IF(C17&lt;40000,"Low",IF(C17&lt;=70000,"Middle","High"))</f>
        <v/>
      </c>
    </row>
    <row r="18">
      <c r="A18" s="17" t="inlineStr">
        <is>
          <t>H017</t>
        </is>
      </c>
      <c r="B18" s="17" t="n">
        <v>6</v>
      </c>
      <c r="C18" s="18" t="n">
        <v>57157</v>
      </c>
      <c r="D18" s="19" t="n">
        <v>200</v>
      </c>
      <c r="E18" s="19" t="n">
        <v>147</v>
      </c>
      <c r="F18" s="20" t="n">
        <v>12</v>
      </c>
      <c r="G18" s="17" t="inlineStr">
        <is>
          <t>Oct</t>
        </is>
      </c>
      <c r="H18" s="17">
        <f>IF(C18&lt;40000,"Low",IF(C18&lt;=70000,"Middle","High"))</f>
        <v/>
      </c>
    </row>
    <row r="19">
      <c r="A19" t="inlineStr">
        <is>
          <t>H018</t>
        </is>
      </c>
      <c r="B19" t="n">
        <v>5</v>
      </c>
      <c r="C19" s="21" t="n">
        <v>87863</v>
      </c>
      <c r="D19" s="22" t="n">
        <v>367</v>
      </c>
      <c r="E19" s="22" t="n">
        <v>154</v>
      </c>
      <c r="F19" s="23" t="n">
        <v>10</v>
      </c>
      <c r="G19" t="inlineStr">
        <is>
          <t>Mar</t>
        </is>
      </c>
      <c r="H19">
        <f>IF(C19&lt;40000,"Low",IF(C19&lt;=70000,"Middle","High"))</f>
        <v/>
      </c>
    </row>
    <row r="20">
      <c r="A20" s="17" t="inlineStr">
        <is>
          <t>H019</t>
        </is>
      </c>
      <c r="B20" s="17" t="n">
        <v>2</v>
      </c>
      <c r="C20" s="18" t="n">
        <v>72083</v>
      </c>
      <c r="D20" s="19" t="n">
        <v>422</v>
      </c>
      <c r="E20" s="19" t="n">
        <v>148</v>
      </c>
      <c r="F20" s="20" t="n">
        <v>3</v>
      </c>
      <c r="G20" s="17" t="inlineStr">
        <is>
          <t>Feb</t>
        </is>
      </c>
      <c r="H20" s="17">
        <f>IF(C20&lt;40000,"Low",IF(C20&lt;=70000,"Middle","High"))</f>
        <v/>
      </c>
    </row>
    <row r="21">
      <c r="A21" t="inlineStr">
        <is>
          <t>H020</t>
        </is>
      </c>
      <c r="B21" t="n">
        <v>4</v>
      </c>
      <c r="C21" s="21" t="n">
        <v>85733</v>
      </c>
      <c r="D21" s="22" t="n">
        <v>164</v>
      </c>
      <c r="E21" s="22" t="n">
        <v>178</v>
      </c>
      <c r="F21" s="23" t="n">
        <v>13</v>
      </c>
      <c r="G21" t="inlineStr">
        <is>
          <t>Dec</t>
        </is>
      </c>
      <c r="H21">
        <f>IF(C21&lt;40000,"Low",IF(C21&lt;=70000,"Middle","High"))</f>
        <v/>
      </c>
    </row>
    <row r="22">
      <c r="A22" s="17" t="inlineStr">
        <is>
          <t>H021</t>
        </is>
      </c>
      <c r="B22" s="17" t="n">
        <v>6</v>
      </c>
      <c r="C22" s="18" t="n">
        <v>54698</v>
      </c>
      <c r="D22" s="19" t="n">
        <v>267</v>
      </c>
      <c r="E22" s="19" t="n">
        <v>198</v>
      </c>
      <c r="F22" s="20" t="n">
        <v>4</v>
      </c>
      <c r="G22" s="17" t="inlineStr">
        <is>
          <t>Jan</t>
        </is>
      </c>
      <c r="H22" s="17">
        <f>IF(C22&lt;40000,"Low",IF(C22&lt;=70000,"Middle","High"))</f>
        <v/>
      </c>
    </row>
    <row r="23">
      <c r="A23" t="inlineStr">
        <is>
          <t>H022</t>
        </is>
      </c>
      <c r="B23" t="n">
        <v>6</v>
      </c>
      <c r="C23" s="21" t="n">
        <v>42671</v>
      </c>
      <c r="D23" s="22" t="n">
        <v>429</v>
      </c>
      <c r="E23" s="22" t="n">
        <v>104</v>
      </c>
      <c r="F23" s="23" t="n">
        <v>4</v>
      </c>
      <c r="G23" t="inlineStr">
        <is>
          <t>Jul</t>
        </is>
      </c>
      <c r="H23">
        <f>IF(C23&lt;40000,"Low",IF(C23&lt;=70000,"Middle","High"))</f>
        <v/>
      </c>
    </row>
    <row r="24">
      <c r="A24" s="17" t="inlineStr">
        <is>
          <t>H023</t>
        </is>
      </c>
      <c r="B24" s="17" t="n">
        <v>2</v>
      </c>
      <c r="C24" s="18" t="n">
        <v>45184</v>
      </c>
      <c r="D24" s="19" t="n">
        <v>142</v>
      </c>
      <c r="E24" s="19" t="n">
        <v>55</v>
      </c>
      <c r="F24" s="20" t="n">
        <v>2</v>
      </c>
      <c r="G24" s="17" t="inlineStr">
        <is>
          <t>Jul</t>
        </is>
      </c>
      <c r="H24" s="17">
        <f>IF(C24&lt;40000,"Low",IF(C24&lt;=70000,"Middle","High"))</f>
        <v/>
      </c>
    </row>
    <row r="25">
      <c r="A25" t="inlineStr">
        <is>
          <t>H024</t>
        </is>
      </c>
      <c r="B25" t="n">
        <v>4</v>
      </c>
      <c r="C25" s="21" t="n">
        <v>62107</v>
      </c>
      <c r="D25" s="22" t="n">
        <v>143</v>
      </c>
      <c r="E25" s="22" t="n">
        <v>144</v>
      </c>
      <c r="F25" s="23" t="n">
        <v>9</v>
      </c>
      <c r="G25" t="inlineStr">
        <is>
          <t>Dec</t>
        </is>
      </c>
      <c r="H25">
        <f>IF(C25&lt;40000,"Low",IF(C25&lt;=70000,"Middle","High"))</f>
        <v/>
      </c>
    </row>
    <row r="26">
      <c r="A26" s="17" t="inlineStr">
        <is>
          <t>H025</t>
        </is>
      </c>
      <c r="B26" s="17" t="n">
        <v>5</v>
      </c>
      <c r="C26" s="18" t="n">
        <v>71663</v>
      </c>
      <c r="D26" s="19" t="n">
        <v>384</v>
      </c>
      <c r="E26" s="19" t="n">
        <v>182</v>
      </c>
      <c r="F26" s="20" t="n">
        <v>7</v>
      </c>
      <c r="G26" s="17" t="inlineStr">
        <is>
          <t>Feb</t>
        </is>
      </c>
      <c r="H26" s="17">
        <f>IF(C26&lt;40000,"Low",IF(C26&lt;=70000,"Middle","High"))</f>
        <v/>
      </c>
    </row>
    <row r="27">
      <c r="A27" t="inlineStr">
        <is>
          <t>H026</t>
        </is>
      </c>
      <c r="B27" t="n">
        <v>1</v>
      </c>
      <c r="C27" s="21" t="n">
        <v>35708</v>
      </c>
      <c r="D27" s="22" t="n">
        <v>496</v>
      </c>
      <c r="E27" s="22" t="n">
        <v>151</v>
      </c>
      <c r="F27" s="23" t="n">
        <v>13</v>
      </c>
      <c r="G27" t="inlineStr">
        <is>
          <t>Jul</t>
        </is>
      </c>
      <c r="H27">
        <f>IF(C27&lt;40000,"Low",IF(C27&lt;=70000,"Middle","High"))</f>
        <v/>
      </c>
    </row>
    <row r="28">
      <c r="A28" s="17" t="inlineStr">
        <is>
          <t>H027</t>
        </is>
      </c>
      <c r="B28" s="17" t="n">
        <v>4</v>
      </c>
      <c r="C28" s="18" t="n">
        <v>69811</v>
      </c>
      <c r="D28" s="19" t="n">
        <v>111</v>
      </c>
      <c r="E28" s="19" t="n">
        <v>52</v>
      </c>
      <c r="F28" s="20" t="n">
        <v>14</v>
      </c>
      <c r="G28" s="17" t="inlineStr">
        <is>
          <t>Aug</t>
        </is>
      </c>
      <c r="H28" s="17">
        <f>IF(C28&lt;40000,"Low",IF(C28&lt;=70000,"Middle","High"))</f>
        <v/>
      </c>
    </row>
    <row r="29">
      <c r="A29" t="inlineStr">
        <is>
          <t>H028</t>
        </is>
      </c>
      <c r="B29" t="n">
        <v>2</v>
      </c>
      <c r="C29" s="21" t="n">
        <v>22811</v>
      </c>
      <c r="D29" s="22" t="n">
        <v>194</v>
      </c>
      <c r="E29" s="22" t="n">
        <v>72</v>
      </c>
      <c r="F29" s="23" t="n">
        <v>9</v>
      </c>
      <c r="G29" t="inlineStr">
        <is>
          <t>Jan</t>
        </is>
      </c>
      <c r="H29">
        <f>IF(C29&lt;40000,"Low",IF(C29&lt;=70000,"Middle","High"))</f>
        <v/>
      </c>
    </row>
    <row r="30">
      <c r="A30" s="17" t="inlineStr">
        <is>
          <t>H029</t>
        </is>
      </c>
      <c r="B30" s="17" t="n">
        <v>6</v>
      </c>
      <c r="C30" s="18" t="n">
        <v>76250</v>
      </c>
      <c r="D30" s="19" t="n">
        <v>401</v>
      </c>
      <c r="E30" s="19" t="n">
        <v>102</v>
      </c>
      <c r="F30" s="20" t="n">
        <v>12</v>
      </c>
      <c r="G30" s="17" t="inlineStr">
        <is>
          <t>Sep</t>
        </is>
      </c>
      <c r="H30" s="17">
        <f>IF(C30&lt;40000,"Low",IF(C30&lt;=70000,"Middle","High"))</f>
        <v/>
      </c>
    </row>
    <row r="31">
      <c r="A31" t="inlineStr">
        <is>
          <t>H030</t>
        </is>
      </c>
      <c r="B31" t="n">
        <v>5</v>
      </c>
      <c r="C31" s="21" t="n">
        <v>92082</v>
      </c>
      <c r="D31" s="22" t="n">
        <v>485</v>
      </c>
      <c r="E31" s="22" t="n">
        <v>132</v>
      </c>
      <c r="F31" s="23" t="n">
        <v>10</v>
      </c>
      <c r="G31" t="inlineStr">
        <is>
          <t>Jul</t>
        </is>
      </c>
      <c r="H31">
        <f>IF(C31&lt;40000,"Low",IF(C31&lt;=70000,"Middle","High"))</f>
        <v/>
      </c>
    </row>
    <row r="32">
      <c r="A32" s="17" t="inlineStr">
        <is>
          <t>H031</t>
        </is>
      </c>
      <c r="B32" s="17" t="n">
        <v>4</v>
      </c>
      <c r="C32" s="18" t="n">
        <v>54754</v>
      </c>
      <c r="D32" s="19" t="n">
        <v>352</v>
      </c>
      <c r="E32" s="19" t="n">
        <v>194</v>
      </c>
      <c r="F32" s="20" t="n">
        <v>6</v>
      </c>
      <c r="G32" s="17" t="inlineStr">
        <is>
          <t>Mar</t>
        </is>
      </c>
      <c r="H32" s="17">
        <f>IF(C32&lt;40000,"Low",IF(C32&lt;=70000,"Middle","High"))</f>
        <v/>
      </c>
    </row>
    <row r="33">
      <c r="A33" t="inlineStr">
        <is>
          <t>H032</t>
        </is>
      </c>
      <c r="B33" t="n">
        <v>1</v>
      </c>
      <c r="C33" s="21" t="n">
        <v>31411</v>
      </c>
      <c r="D33" s="22" t="n">
        <v>341</v>
      </c>
      <c r="E33" s="22" t="n">
        <v>134</v>
      </c>
      <c r="F33" s="23" t="n">
        <v>13</v>
      </c>
      <c r="G33" t="inlineStr">
        <is>
          <t>Aug</t>
        </is>
      </c>
      <c r="H33">
        <f>IF(C33&lt;40000,"Low",IF(C33&lt;=70000,"Middle","High"))</f>
        <v/>
      </c>
    </row>
    <row r="34">
      <c r="A34" s="17" t="inlineStr">
        <is>
          <t>H033</t>
        </is>
      </c>
      <c r="B34" s="17" t="n">
        <v>1</v>
      </c>
      <c r="C34" s="18" t="n">
        <v>22911</v>
      </c>
      <c r="D34" s="19" t="n">
        <v>134</v>
      </c>
      <c r="E34" s="19" t="n">
        <v>127</v>
      </c>
      <c r="F34" s="20" t="n">
        <v>4</v>
      </c>
      <c r="G34" s="17" t="inlineStr">
        <is>
          <t>Jul</t>
        </is>
      </c>
      <c r="H34" s="17">
        <f>IF(C34&lt;40000,"Low",IF(C34&lt;=70000,"Middle","High"))</f>
        <v/>
      </c>
    </row>
    <row r="35">
      <c r="A35" t="inlineStr">
        <is>
          <t>H034</t>
        </is>
      </c>
      <c r="B35" t="n">
        <v>3</v>
      </c>
      <c r="C35" s="21" t="n">
        <v>87270</v>
      </c>
      <c r="D35" s="22" t="n">
        <v>314</v>
      </c>
      <c r="E35" s="22" t="n">
        <v>159</v>
      </c>
      <c r="F35" s="23" t="n">
        <v>6</v>
      </c>
      <c r="G35" t="inlineStr">
        <is>
          <t>Nov</t>
        </is>
      </c>
      <c r="H35">
        <f>IF(C35&lt;40000,"Low",IF(C35&lt;=70000,"Middle","High"))</f>
        <v/>
      </c>
    </row>
    <row r="36">
      <c r="A36" s="17" t="inlineStr">
        <is>
          <t>H035</t>
        </is>
      </c>
      <c r="B36" s="17" t="n">
        <v>3</v>
      </c>
      <c r="C36" s="18" t="n">
        <v>28680</v>
      </c>
      <c r="D36" s="19" t="n">
        <v>436</v>
      </c>
      <c r="E36" s="19" t="n">
        <v>50</v>
      </c>
      <c r="F36" s="20" t="n">
        <v>6</v>
      </c>
      <c r="G36" s="17" t="inlineStr">
        <is>
          <t>Aug</t>
        </is>
      </c>
      <c r="H36" s="17">
        <f>IF(C36&lt;40000,"Low",IF(C36&lt;=70000,"Middle","High"))</f>
        <v/>
      </c>
    </row>
    <row r="37">
      <c r="A37" t="inlineStr">
        <is>
          <t>H036</t>
        </is>
      </c>
      <c r="B37" t="n">
        <v>7</v>
      </c>
      <c r="C37" s="21" t="n">
        <v>91295</v>
      </c>
      <c r="D37" s="22" t="n">
        <v>189</v>
      </c>
      <c r="E37" s="22" t="n">
        <v>100</v>
      </c>
      <c r="F37" s="23" t="n">
        <v>6</v>
      </c>
      <c r="G37" t="inlineStr">
        <is>
          <t>Jun</t>
        </is>
      </c>
      <c r="H37">
        <f>IF(C37&lt;40000,"Low",IF(C37&lt;=70000,"Middle","High"))</f>
        <v/>
      </c>
    </row>
    <row r="38">
      <c r="A38" s="17" t="inlineStr">
        <is>
          <t>H037</t>
        </is>
      </c>
      <c r="B38" s="17" t="n">
        <v>2</v>
      </c>
      <c r="C38" s="18" t="n">
        <v>31111</v>
      </c>
      <c r="D38" s="19" t="n">
        <v>363</v>
      </c>
      <c r="E38" s="19" t="n">
        <v>53</v>
      </c>
      <c r="F38" s="20" t="n">
        <v>4</v>
      </c>
      <c r="G38" s="17" t="inlineStr">
        <is>
          <t>Sep</t>
        </is>
      </c>
      <c r="H38" s="17">
        <f>IF(C38&lt;40000,"Low",IF(C38&lt;=70000,"Middle","High"))</f>
        <v/>
      </c>
    </row>
    <row r="39">
      <c r="A39" t="inlineStr">
        <is>
          <t>H038</t>
        </is>
      </c>
      <c r="B39" t="n">
        <v>4</v>
      </c>
      <c r="C39" s="21" t="n">
        <v>57504</v>
      </c>
      <c r="D39" s="22" t="n">
        <v>192</v>
      </c>
      <c r="E39" s="22" t="n">
        <v>162</v>
      </c>
      <c r="F39" s="23" t="n">
        <v>12</v>
      </c>
      <c r="G39" t="inlineStr">
        <is>
          <t>May</t>
        </is>
      </c>
      <c r="H39">
        <f>IF(C39&lt;40000,"Low",IF(C39&lt;=70000,"Middle","High"))</f>
        <v/>
      </c>
    </row>
    <row r="40">
      <c r="A40" s="17" t="inlineStr">
        <is>
          <t>H039</t>
        </is>
      </c>
      <c r="B40" s="17" t="n">
        <v>4</v>
      </c>
      <c r="C40" s="18" t="n">
        <v>21802</v>
      </c>
      <c r="D40" s="19" t="n">
        <v>189</v>
      </c>
      <c r="E40" s="19" t="n">
        <v>81</v>
      </c>
      <c r="F40" s="20" t="n">
        <v>11</v>
      </c>
      <c r="G40" s="17" t="inlineStr">
        <is>
          <t>Mar</t>
        </is>
      </c>
      <c r="H40" s="17">
        <f>IF(C40&lt;40000,"Low",IF(C40&lt;=70000,"Middle","High"))</f>
        <v/>
      </c>
    </row>
    <row r="41">
      <c r="A41" t="inlineStr">
        <is>
          <t>H040</t>
        </is>
      </c>
      <c r="B41" t="n">
        <v>7</v>
      </c>
      <c r="C41" s="21" t="n">
        <v>28155</v>
      </c>
      <c r="D41" s="22" t="n">
        <v>214</v>
      </c>
      <c r="E41" s="22" t="n">
        <v>83</v>
      </c>
      <c r="F41" s="23" t="n">
        <v>5</v>
      </c>
      <c r="G41" t="inlineStr">
        <is>
          <t>Mar</t>
        </is>
      </c>
      <c r="H41">
        <f>IF(C41&lt;40000,"Low",IF(C41&lt;=70000,"Middle","High"))</f>
        <v/>
      </c>
    </row>
    <row r="42">
      <c r="A42" s="17" t="inlineStr">
        <is>
          <t>H041</t>
        </is>
      </c>
      <c r="B42" s="17" t="n">
        <v>6</v>
      </c>
      <c r="C42" s="18" t="n">
        <v>93656</v>
      </c>
      <c r="D42" s="19" t="n">
        <v>204</v>
      </c>
      <c r="E42" s="19" t="n">
        <v>141</v>
      </c>
      <c r="F42" s="20" t="n">
        <v>10</v>
      </c>
      <c r="G42" s="17" t="inlineStr">
        <is>
          <t>Jan</t>
        </is>
      </c>
      <c r="H42" s="17">
        <f>IF(C42&lt;40000,"Low",IF(C42&lt;=70000,"Middle","High"))</f>
        <v/>
      </c>
    </row>
    <row r="43">
      <c r="A43" t="inlineStr">
        <is>
          <t>H042</t>
        </is>
      </c>
      <c r="B43" t="n">
        <v>6</v>
      </c>
      <c r="C43" s="21" t="n">
        <v>59384</v>
      </c>
      <c r="D43" s="22" t="n">
        <v>490</v>
      </c>
      <c r="E43" s="22" t="n">
        <v>144</v>
      </c>
      <c r="F43" s="23" t="n">
        <v>14</v>
      </c>
      <c r="G43" t="inlineStr">
        <is>
          <t>Dec</t>
        </is>
      </c>
      <c r="H43">
        <f>IF(C43&lt;40000,"Low",IF(C43&lt;=70000,"Middle","High"))</f>
        <v/>
      </c>
    </row>
    <row r="44">
      <c r="A44" s="17" t="inlineStr">
        <is>
          <t>H043</t>
        </is>
      </c>
      <c r="B44" s="17" t="n">
        <v>7</v>
      </c>
      <c r="C44" s="18" t="n">
        <v>67254</v>
      </c>
      <c r="D44" s="19" t="n">
        <v>295</v>
      </c>
      <c r="E44" s="19" t="n">
        <v>121</v>
      </c>
      <c r="F44" s="20" t="n">
        <v>11</v>
      </c>
      <c r="G44" s="17" t="inlineStr">
        <is>
          <t>Aug</t>
        </is>
      </c>
      <c r="H44" s="17">
        <f>IF(C44&lt;40000,"Low",IF(C44&lt;=70000,"Middle","High"))</f>
        <v/>
      </c>
    </row>
    <row r="45">
      <c r="A45" t="inlineStr">
        <is>
          <t>H044</t>
        </is>
      </c>
      <c r="B45" t="n">
        <v>6</v>
      </c>
      <c r="C45" s="21" t="n">
        <v>41918</v>
      </c>
      <c r="D45" s="22" t="n">
        <v>413</v>
      </c>
      <c r="E45" s="22" t="n">
        <v>88</v>
      </c>
      <c r="F45" s="23" t="n">
        <v>10</v>
      </c>
      <c r="G45" t="inlineStr">
        <is>
          <t>Feb</t>
        </is>
      </c>
      <c r="H45">
        <f>IF(C45&lt;40000,"Low",IF(C45&lt;=70000,"Middle","High"))</f>
        <v/>
      </c>
    </row>
    <row r="46">
      <c r="A46" s="17" t="inlineStr">
        <is>
          <t>H045</t>
        </is>
      </c>
      <c r="B46" s="17" t="n">
        <v>3</v>
      </c>
      <c r="C46" s="18" t="n">
        <v>80713</v>
      </c>
      <c r="D46" s="19" t="n">
        <v>213</v>
      </c>
      <c r="E46" s="19" t="n">
        <v>167</v>
      </c>
      <c r="F46" s="20" t="n">
        <v>3</v>
      </c>
      <c r="G46" s="17" t="inlineStr">
        <is>
          <t>Mar</t>
        </is>
      </c>
      <c r="H46" s="17">
        <f>IF(C46&lt;40000,"Low",IF(C46&lt;=70000,"Middle","High"))</f>
        <v/>
      </c>
    </row>
    <row r="47">
      <c r="A47" t="inlineStr">
        <is>
          <t>H046</t>
        </is>
      </c>
      <c r="B47" t="n">
        <v>4</v>
      </c>
      <c r="C47" s="21" t="n">
        <v>50306</v>
      </c>
      <c r="D47" s="22" t="n">
        <v>174</v>
      </c>
      <c r="E47" s="22" t="n">
        <v>52</v>
      </c>
      <c r="F47" s="23" t="n">
        <v>9</v>
      </c>
      <c r="G47" t="inlineStr">
        <is>
          <t>Aug</t>
        </is>
      </c>
      <c r="H47">
        <f>IF(C47&lt;40000,"Low",IF(C47&lt;=70000,"Middle","High"))</f>
        <v/>
      </c>
    </row>
    <row r="48">
      <c r="A48" s="17" t="inlineStr">
        <is>
          <t>H047</t>
        </is>
      </c>
      <c r="B48" s="17" t="n">
        <v>7</v>
      </c>
      <c r="C48" s="18" t="n">
        <v>36646</v>
      </c>
      <c r="D48" s="19" t="n">
        <v>475</v>
      </c>
      <c r="E48" s="19" t="n">
        <v>172</v>
      </c>
      <c r="F48" s="20" t="n">
        <v>9</v>
      </c>
      <c r="G48" s="17" t="inlineStr">
        <is>
          <t>Aug</t>
        </is>
      </c>
      <c r="H48" s="17">
        <f>IF(C48&lt;40000,"Low",IF(C48&lt;=70000,"Middle","High"))</f>
        <v/>
      </c>
    </row>
    <row r="49">
      <c r="A49" t="inlineStr">
        <is>
          <t>H048</t>
        </is>
      </c>
      <c r="B49" t="n">
        <v>4</v>
      </c>
      <c r="C49" s="21" t="n">
        <v>66843</v>
      </c>
      <c r="D49" s="22" t="n">
        <v>316</v>
      </c>
      <c r="E49" s="22" t="n">
        <v>99</v>
      </c>
      <c r="F49" s="23" t="n">
        <v>8</v>
      </c>
      <c r="G49" t="inlineStr">
        <is>
          <t>Nov</t>
        </is>
      </c>
      <c r="H49">
        <f>IF(C49&lt;40000,"Low",IF(C49&lt;=70000,"Middle","High"))</f>
        <v/>
      </c>
    </row>
    <row r="50">
      <c r="A50" s="17" t="inlineStr">
        <is>
          <t>H049</t>
        </is>
      </c>
      <c r="B50" s="17" t="n">
        <v>1</v>
      </c>
      <c r="C50" s="18" t="n">
        <v>36371</v>
      </c>
      <c r="D50" s="19" t="n">
        <v>376</v>
      </c>
      <c r="E50" s="19" t="n">
        <v>61</v>
      </c>
      <c r="F50" s="20" t="n">
        <v>9</v>
      </c>
      <c r="G50" s="17" t="inlineStr">
        <is>
          <t>Apr</t>
        </is>
      </c>
      <c r="H50" s="17">
        <f>IF(C50&lt;40000,"Low",IF(C50&lt;=70000,"Middle","High"))</f>
        <v/>
      </c>
    </row>
    <row r="51">
      <c r="A51" t="inlineStr">
        <is>
          <t>H050</t>
        </is>
      </c>
      <c r="B51" t="n">
        <v>3</v>
      </c>
      <c r="C51" s="21" t="n">
        <v>97371</v>
      </c>
      <c r="D51" s="22" t="n">
        <v>348</v>
      </c>
      <c r="E51" s="22" t="n">
        <v>103</v>
      </c>
      <c r="F51" s="23" t="n">
        <v>4</v>
      </c>
      <c r="G51" t="inlineStr">
        <is>
          <t>Apr</t>
        </is>
      </c>
      <c r="H51">
        <f>IF(C51&lt;40000,"Low",IF(C51&lt;=70000,"Middle","High"))</f>
        <v/>
      </c>
    </row>
    <row r="52">
      <c r="A52" s="17" t="inlineStr">
        <is>
          <t>H051</t>
        </is>
      </c>
      <c r="B52" s="17" t="n">
        <v>5</v>
      </c>
      <c r="C52" s="18" t="n">
        <v>22049</v>
      </c>
      <c r="D52" s="19" t="n">
        <v>263</v>
      </c>
      <c r="E52" s="19" t="n">
        <v>182</v>
      </c>
      <c r="F52" s="20" t="n">
        <v>14</v>
      </c>
      <c r="G52" s="17" t="inlineStr">
        <is>
          <t>May</t>
        </is>
      </c>
      <c r="H52" s="17">
        <f>IF(C52&lt;40000,"Low",IF(C52&lt;=70000,"Middle","High"))</f>
        <v/>
      </c>
    </row>
    <row r="53">
      <c r="A53" t="inlineStr">
        <is>
          <t>H052</t>
        </is>
      </c>
      <c r="B53" t="n">
        <v>3</v>
      </c>
      <c r="C53" s="21" t="n">
        <v>51616</v>
      </c>
      <c r="D53" s="22" t="n">
        <v>493</v>
      </c>
      <c r="E53" s="22" t="n">
        <v>106</v>
      </c>
      <c r="F53" s="23" t="n">
        <v>7</v>
      </c>
      <c r="G53" t="inlineStr">
        <is>
          <t>Jun</t>
        </is>
      </c>
      <c r="H53">
        <f>IF(C53&lt;40000,"Low",IF(C53&lt;=70000,"Middle","High"))</f>
        <v/>
      </c>
    </row>
    <row r="54">
      <c r="A54" s="17" t="inlineStr">
        <is>
          <t>H053</t>
        </is>
      </c>
      <c r="B54" s="17" t="n">
        <v>7</v>
      </c>
      <c r="C54" s="18" t="n">
        <v>40932</v>
      </c>
      <c r="D54" s="19" t="n">
        <v>456</v>
      </c>
      <c r="E54" s="19" t="n">
        <v>194</v>
      </c>
      <c r="F54" s="20" t="n">
        <v>2</v>
      </c>
      <c r="G54" s="17" t="inlineStr">
        <is>
          <t>May</t>
        </is>
      </c>
      <c r="H54" s="17">
        <f>IF(C54&lt;40000,"Low",IF(C54&lt;=70000,"Middle","High"))</f>
        <v/>
      </c>
    </row>
    <row r="55">
      <c r="A55" t="inlineStr">
        <is>
          <t>H054</t>
        </is>
      </c>
      <c r="B55" t="n">
        <v>5</v>
      </c>
      <c r="C55" s="21" t="n">
        <v>49855</v>
      </c>
      <c r="D55" s="22" t="n">
        <v>291</v>
      </c>
      <c r="E55" s="22" t="n">
        <v>161</v>
      </c>
      <c r="F55" s="23" t="n">
        <v>8</v>
      </c>
      <c r="G55" t="inlineStr">
        <is>
          <t>Jul</t>
        </is>
      </c>
      <c r="H55">
        <f>IF(C55&lt;40000,"Low",IF(C55&lt;=70000,"Middle","High"))</f>
        <v/>
      </c>
    </row>
    <row r="56">
      <c r="A56" s="17" t="inlineStr">
        <is>
          <t>H055</t>
        </is>
      </c>
      <c r="B56" s="17" t="n">
        <v>1</v>
      </c>
      <c r="C56" s="18" t="n">
        <v>81434</v>
      </c>
      <c r="D56" s="19" t="n">
        <v>326</v>
      </c>
      <c r="E56" s="19" t="n">
        <v>96</v>
      </c>
      <c r="F56" s="20" t="n">
        <v>2</v>
      </c>
      <c r="G56" s="17" t="inlineStr">
        <is>
          <t>Feb</t>
        </is>
      </c>
      <c r="H56" s="17">
        <f>IF(C56&lt;40000,"Low",IF(C56&lt;=70000,"Middle","High"))</f>
        <v/>
      </c>
    </row>
    <row r="57">
      <c r="A57" t="inlineStr">
        <is>
          <t>H056</t>
        </is>
      </c>
      <c r="B57" t="n">
        <v>7</v>
      </c>
      <c r="C57" s="21" t="n">
        <v>92694</v>
      </c>
      <c r="D57" s="22" t="n">
        <v>276</v>
      </c>
      <c r="E57" s="22" t="n">
        <v>200</v>
      </c>
      <c r="F57" s="23" t="n">
        <v>10</v>
      </c>
      <c r="G57" t="inlineStr">
        <is>
          <t>Jul</t>
        </is>
      </c>
      <c r="H57">
        <f>IF(C57&lt;40000,"Low",IF(C57&lt;=70000,"Middle","High"))</f>
        <v/>
      </c>
    </row>
    <row r="58">
      <c r="A58" s="17" t="inlineStr">
        <is>
          <t>H057</t>
        </is>
      </c>
      <c r="B58" s="17" t="n">
        <v>2</v>
      </c>
      <c r="C58" s="18" t="n">
        <v>63016</v>
      </c>
      <c r="D58" s="19" t="n">
        <v>198</v>
      </c>
      <c r="E58" s="19" t="n">
        <v>134</v>
      </c>
      <c r="F58" s="20" t="n">
        <v>2</v>
      </c>
      <c r="G58" s="17" t="inlineStr">
        <is>
          <t>Oct</t>
        </is>
      </c>
      <c r="H58" s="17">
        <f>IF(C58&lt;40000,"Low",IF(C58&lt;=70000,"Middle","High"))</f>
        <v/>
      </c>
    </row>
    <row r="59">
      <c r="A59" t="inlineStr">
        <is>
          <t>H058</t>
        </is>
      </c>
      <c r="B59" t="n">
        <v>4</v>
      </c>
      <c r="C59" s="21" t="n">
        <v>27400</v>
      </c>
      <c r="D59" s="22" t="n">
        <v>135</v>
      </c>
      <c r="E59" s="22" t="n">
        <v>191</v>
      </c>
      <c r="F59" s="23" t="n">
        <v>2</v>
      </c>
      <c r="G59" t="inlineStr">
        <is>
          <t>Jul</t>
        </is>
      </c>
      <c r="H59">
        <f>IF(C59&lt;40000,"Low",IF(C59&lt;=70000,"Middle","High"))</f>
        <v/>
      </c>
    </row>
    <row r="60">
      <c r="A60" s="17" t="inlineStr">
        <is>
          <t>H059</t>
        </is>
      </c>
      <c r="B60" s="17" t="n">
        <v>1</v>
      </c>
      <c r="C60" s="18" t="n">
        <v>62642</v>
      </c>
      <c r="D60" s="19" t="n">
        <v>195</v>
      </c>
      <c r="E60" s="19" t="n">
        <v>115</v>
      </c>
      <c r="F60" s="20" t="n">
        <v>8</v>
      </c>
      <c r="G60" s="17" t="inlineStr">
        <is>
          <t>Jan</t>
        </is>
      </c>
      <c r="H60" s="17">
        <f>IF(C60&lt;40000,"Low",IF(C60&lt;=70000,"Middle","High"))</f>
        <v/>
      </c>
    </row>
    <row r="61">
      <c r="A61" t="inlineStr">
        <is>
          <t>H060</t>
        </is>
      </c>
      <c r="B61" t="n">
        <v>4</v>
      </c>
      <c r="C61" s="21" t="n">
        <v>35151</v>
      </c>
      <c r="D61" s="22" t="n">
        <v>251</v>
      </c>
      <c r="E61" s="22" t="n">
        <v>124</v>
      </c>
      <c r="F61" s="23" t="n">
        <v>3</v>
      </c>
      <c r="G61" t="inlineStr">
        <is>
          <t>Jul</t>
        </is>
      </c>
      <c r="H61">
        <f>IF(C61&lt;40000,"Low",IF(C61&lt;=70000,"Middle","High"))</f>
        <v/>
      </c>
    </row>
    <row r="62">
      <c r="A62" s="17" t="inlineStr">
        <is>
          <t>H061</t>
        </is>
      </c>
      <c r="B62" s="17" t="n">
        <v>6</v>
      </c>
      <c r="C62" s="18" t="n">
        <v>71407</v>
      </c>
      <c r="D62" s="19" t="n">
        <v>250</v>
      </c>
      <c r="E62" s="19" t="n">
        <v>152</v>
      </c>
      <c r="F62" s="20" t="n">
        <v>6</v>
      </c>
      <c r="G62" s="17" t="inlineStr">
        <is>
          <t>May</t>
        </is>
      </c>
      <c r="H62" s="17">
        <f>IF(C62&lt;40000,"Low",IF(C62&lt;=70000,"Middle","High"))</f>
        <v/>
      </c>
    </row>
    <row r="63">
      <c r="A63" t="inlineStr">
        <is>
          <t>H062</t>
        </is>
      </c>
      <c r="B63" t="n">
        <v>2</v>
      </c>
      <c r="C63" s="21" t="n">
        <v>86690</v>
      </c>
      <c r="D63" s="22" t="n">
        <v>289</v>
      </c>
      <c r="E63" s="22" t="n">
        <v>87</v>
      </c>
      <c r="F63" s="23" t="n">
        <v>9</v>
      </c>
      <c r="G63" t="inlineStr">
        <is>
          <t>Mar</t>
        </is>
      </c>
      <c r="H63">
        <f>IF(C63&lt;40000,"Low",IF(C63&lt;=70000,"Middle","High"))</f>
        <v/>
      </c>
    </row>
    <row r="64">
      <c r="A64" s="17" t="inlineStr">
        <is>
          <t>H063</t>
        </is>
      </c>
      <c r="B64" s="17" t="n">
        <v>2</v>
      </c>
      <c r="C64" s="18" t="n">
        <v>24499</v>
      </c>
      <c r="D64" s="19" t="n">
        <v>323</v>
      </c>
      <c r="E64" s="19" t="n">
        <v>99</v>
      </c>
      <c r="F64" s="20" t="n">
        <v>9</v>
      </c>
      <c r="G64" s="17" t="inlineStr">
        <is>
          <t>Mar</t>
        </is>
      </c>
      <c r="H64" s="17">
        <f>IF(C64&lt;40000,"Low",IF(C64&lt;=70000,"Middle","High"))</f>
        <v/>
      </c>
    </row>
    <row r="65">
      <c r="A65" t="inlineStr">
        <is>
          <t>H064</t>
        </is>
      </c>
      <c r="B65" t="n">
        <v>1</v>
      </c>
      <c r="C65" s="21" t="n">
        <v>26295</v>
      </c>
      <c r="D65" s="22" t="n">
        <v>136</v>
      </c>
      <c r="E65" s="22" t="n">
        <v>147</v>
      </c>
      <c r="F65" s="23" t="n">
        <v>4</v>
      </c>
      <c r="G65" t="inlineStr">
        <is>
          <t>Apr</t>
        </is>
      </c>
      <c r="H65">
        <f>IF(C65&lt;40000,"Low",IF(C65&lt;=70000,"Middle","High"))</f>
        <v/>
      </c>
    </row>
    <row r="66">
      <c r="A66" s="17" t="inlineStr">
        <is>
          <t>H065</t>
        </is>
      </c>
      <c r="B66" s="17" t="n">
        <v>2</v>
      </c>
      <c r="C66" s="18" t="n">
        <v>79040</v>
      </c>
      <c r="D66" s="19" t="n">
        <v>367</v>
      </c>
      <c r="E66" s="19" t="n">
        <v>131</v>
      </c>
      <c r="F66" s="20" t="n">
        <v>8</v>
      </c>
      <c r="G66" s="17" t="inlineStr">
        <is>
          <t>Dec</t>
        </is>
      </c>
      <c r="H66" s="17">
        <f>IF(C66&lt;40000,"Low",IF(C66&lt;=70000,"Middle","High"))</f>
        <v/>
      </c>
    </row>
    <row r="67">
      <c r="A67" t="inlineStr">
        <is>
          <t>H066</t>
        </is>
      </c>
      <c r="B67" t="n">
        <v>5</v>
      </c>
      <c r="C67" s="21" t="n">
        <v>32183</v>
      </c>
      <c r="D67" s="22" t="n">
        <v>468</v>
      </c>
      <c r="E67" s="22" t="n">
        <v>79</v>
      </c>
      <c r="F67" s="23" t="n">
        <v>4</v>
      </c>
      <c r="G67" t="inlineStr">
        <is>
          <t>Feb</t>
        </is>
      </c>
      <c r="H67">
        <f>IF(C67&lt;40000,"Low",IF(C67&lt;=70000,"Middle","High"))</f>
        <v/>
      </c>
    </row>
    <row r="68">
      <c r="A68" s="17" t="inlineStr">
        <is>
          <t>H067</t>
        </is>
      </c>
      <c r="B68" s="17" t="n">
        <v>2</v>
      </c>
      <c r="C68" s="18" t="n">
        <v>49299</v>
      </c>
      <c r="D68" s="19" t="n">
        <v>282</v>
      </c>
      <c r="E68" s="19" t="n">
        <v>128</v>
      </c>
      <c r="F68" s="20" t="n">
        <v>7</v>
      </c>
      <c r="G68" s="17" t="inlineStr">
        <is>
          <t>Feb</t>
        </is>
      </c>
      <c r="H68" s="17">
        <f>IF(C68&lt;40000,"Low",IF(C68&lt;=70000,"Middle","High"))</f>
        <v/>
      </c>
    </row>
    <row r="69">
      <c r="A69" t="inlineStr">
        <is>
          <t>H068</t>
        </is>
      </c>
      <c r="B69" t="n">
        <v>4</v>
      </c>
      <c r="C69" s="21" t="n">
        <v>32874</v>
      </c>
      <c r="D69" s="22" t="n">
        <v>112</v>
      </c>
      <c r="E69" s="22" t="n">
        <v>140</v>
      </c>
      <c r="F69" s="23" t="n">
        <v>7</v>
      </c>
      <c r="G69" t="inlineStr">
        <is>
          <t>Jan</t>
        </is>
      </c>
      <c r="H69">
        <f>IF(C69&lt;40000,"Low",IF(C69&lt;=70000,"Middle","High"))</f>
        <v/>
      </c>
    </row>
    <row r="70">
      <c r="A70" s="17" t="inlineStr">
        <is>
          <t>H069</t>
        </is>
      </c>
      <c r="B70" s="17" t="n">
        <v>4</v>
      </c>
      <c r="C70" s="18" t="n">
        <v>52711</v>
      </c>
      <c r="D70" s="19" t="n">
        <v>378</v>
      </c>
      <c r="E70" s="19" t="n">
        <v>101</v>
      </c>
      <c r="F70" s="20" t="n">
        <v>4</v>
      </c>
      <c r="G70" s="17" t="inlineStr">
        <is>
          <t>May</t>
        </is>
      </c>
      <c r="H70" s="17">
        <f>IF(C70&lt;40000,"Low",IF(C70&lt;=70000,"Middle","High"))</f>
        <v/>
      </c>
    </row>
    <row r="71">
      <c r="A71" t="inlineStr">
        <is>
          <t>H070</t>
        </is>
      </c>
      <c r="B71" t="n">
        <v>7</v>
      </c>
      <c r="C71" s="21" t="n">
        <v>25539</v>
      </c>
      <c r="D71" s="22" t="n">
        <v>316</v>
      </c>
      <c r="E71" s="22" t="n">
        <v>128</v>
      </c>
      <c r="F71" s="23" t="n">
        <v>8</v>
      </c>
      <c r="G71" t="inlineStr">
        <is>
          <t>Apr</t>
        </is>
      </c>
      <c r="H71">
        <f>IF(C71&lt;40000,"Low",IF(C71&lt;=70000,"Middle","High"))</f>
        <v/>
      </c>
    </row>
    <row r="72">
      <c r="A72" s="17" t="inlineStr">
        <is>
          <t>H071</t>
        </is>
      </c>
      <c r="B72" s="17" t="n">
        <v>4</v>
      </c>
      <c r="C72" s="18" t="n">
        <v>73351</v>
      </c>
      <c r="D72" s="19" t="n">
        <v>454</v>
      </c>
      <c r="E72" s="19" t="n">
        <v>79</v>
      </c>
      <c r="F72" s="20" t="n">
        <v>4</v>
      </c>
      <c r="G72" s="17" t="inlineStr">
        <is>
          <t>Nov</t>
        </is>
      </c>
      <c r="H72" s="17">
        <f>IF(C72&lt;40000,"Low",IF(C72&lt;=70000,"Middle","High"))</f>
        <v/>
      </c>
    </row>
    <row r="73">
      <c r="A73" t="inlineStr">
        <is>
          <t>H072</t>
        </is>
      </c>
      <c r="B73" t="n">
        <v>7</v>
      </c>
      <c r="C73" s="21" t="n">
        <v>81267</v>
      </c>
      <c r="D73" s="22" t="n">
        <v>460</v>
      </c>
      <c r="E73" s="22" t="n">
        <v>155</v>
      </c>
      <c r="F73" s="23" t="n">
        <v>9</v>
      </c>
      <c r="G73" t="inlineStr">
        <is>
          <t>Oct</t>
        </is>
      </c>
      <c r="H73">
        <f>IF(C73&lt;40000,"Low",IF(C73&lt;=70000,"Middle","High"))</f>
        <v/>
      </c>
    </row>
    <row r="74">
      <c r="A74" s="17" t="inlineStr">
        <is>
          <t>H073</t>
        </is>
      </c>
      <c r="B74" s="17" t="n">
        <v>4</v>
      </c>
      <c r="C74" s="18" t="n">
        <v>68354</v>
      </c>
      <c r="D74" s="19" t="n">
        <v>385</v>
      </c>
      <c r="E74" s="19" t="n">
        <v>100</v>
      </c>
      <c r="F74" s="20" t="n">
        <v>11</v>
      </c>
      <c r="G74" s="17" t="inlineStr">
        <is>
          <t>Feb</t>
        </is>
      </c>
      <c r="H74" s="17">
        <f>IF(C74&lt;40000,"Low",IF(C74&lt;=70000,"Middle","High"))</f>
        <v/>
      </c>
    </row>
    <row r="75">
      <c r="A75" t="inlineStr">
        <is>
          <t>H074</t>
        </is>
      </c>
      <c r="B75" t="n">
        <v>5</v>
      </c>
      <c r="C75" s="21" t="n">
        <v>22557</v>
      </c>
      <c r="D75" s="22" t="n">
        <v>372</v>
      </c>
      <c r="E75" s="22" t="n">
        <v>130</v>
      </c>
      <c r="F75" s="23" t="n">
        <v>5</v>
      </c>
      <c r="G75" t="inlineStr">
        <is>
          <t>Mar</t>
        </is>
      </c>
      <c r="H75">
        <f>IF(C75&lt;40000,"Low",IF(C75&lt;=70000,"Middle","High"))</f>
        <v/>
      </c>
    </row>
    <row r="76">
      <c r="A76" s="17" t="inlineStr">
        <is>
          <t>H075</t>
        </is>
      </c>
      <c r="B76" s="17" t="n">
        <v>7</v>
      </c>
      <c r="C76" s="18" t="n">
        <v>58360</v>
      </c>
      <c r="D76" s="19" t="n">
        <v>468</v>
      </c>
      <c r="E76" s="19" t="n">
        <v>182</v>
      </c>
      <c r="F76" s="20" t="n">
        <v>14</v>
      </c>
      <c r="G76" s="17" t="inlineStr">
        <is>
          <t>Jul</t>
        </is>
      </c>
      <c r="H76" s="17">
        <f>IF(C76&lt;40000,"Low",IF(C76&lt;=70000,"Middle","High"))</f>
        <v/>
      </c>
    </row>
    <row r="77">
      <c r="A77" t="inlineStr">
        <is>
          <t>H076</t>
        </is>
      </c>
      <c r="B77" t="n">
        <v>3</v>
      </c>
      <c r="C77" s="21" t="n">
        <v>22200</v>
      </c>
      <c r="D77" s="22" t="n">
        <v>161</v>
      </c>
      <c r="E77" s="22" t="n">
        <v>78</v>
      </c>
      <c r="F77" s="23" t="n">
        <v>2</v>
      </c>
      <c r="G77" t="inlineStr">
        <is>
          <t>Jul</t>
        </is>
      </c>
      <c r="H77">
        <f>IF(C77&lt;40000,"Low",IF(C77&lt;=70000,"Middle","High"))</f>
        <v/>
      </c>
    </row>
    <row r="78">
      <c r="A78" s="17" t="inlineStr">
        <is>
          <t>H077</t>
        </is>
      </c>
      <c r="B78" s="17" t="n">
        <v>6</v>
      </c>
      <c r="C78" s="18" t="n">
        <v>88497</v>
      </c>
      <c r="D78" s="19" t="n">
        <v>183</v>
      </c>
      <c r="E78" s="19" t="n">
        <v>181</v>
      </c>
      <c r="F78" s="20" t="n">
        <v>5</v>
      </c>
      <c r="G78" s="17" t="inlineStr">
        <is>
          <t>Dec</t>
        </is>
      </c>
      <c r="H78" s="17">
        <f>IF(C78&lt;40000,"Low",IF(C78&lt;=70000,"Middle","High"))</f>
        <v/>
      </c>
    </row>
    <row r="79">
      <c r="A79" t="inlineStr">
        <is>
          <t>H078</t>
        </is>
      </c>
      <c r="B79" t="n">
        <v>1</v>
      </c>
      <c r="C79" s="21" t="n">
        <v>66975</v>
      </c>
      <c r="D79" s="22" t="n">
        <v>467</v>
      </c>
      <c r="E79" s="22" t="n">
        <v>187</v>
      </c>
      <c r="F79" s="23" t="n">
        <v>8</v>
      </c>
      <c r="G79" t="inlineStr">
        <is>
          <t>Apr</t>
        </is>
      </c>
      <c r="H79">
        <f>IF(C79&lt;40000,"Low",IF(C79&lt;=70000,"Middle","High"))</f>
        <v/>
      </c>
    </row>
    <row r="80">
      <c r="A80" s="17" t="inlineStr">
        <is>
          <t>H079</t>
        </is>
      </c>
      <c r="B80" s="17" t="n">
        <v>4</v>
      </c>
      <c r="C80" s="18" t="n">
        <v>41357</v>
      </c>
      <c r="D80" s="19" t="n">
        <v>316</v>
      </c>
      <c r="E80" s="19" t="n">
        <v>194</v>
      </c>
      <c r="F80" s="20" t="n">
        <v>12</v>
      </c>
      <c r="G80" s="17" t="inlineStr">
        <is>
          <t>May</t>
        </is>
      </c>
      <c r="H80" s="17">
        <f>IF(C80&lt;40000,"Low",IF(C80&lt;=70000,"Middle","High"))</f>
        <v/>
      </c>
    </row>
    <row r="81">
      <c r="A81" t="inlineStr">
        <is>
          <t>H080</t>
        </is>
      </c>
      <c r="B81" t="n">
        <v>2</v>
      </c>
      <c r="C81" s="21" t="n">
        <v>97505</v>
      </c>
      <c r="D81" s="22" t="n">
        <v>441</v>
      </c>
      <c r="E81" s="22" t="n">
        <v>123</v>
      </c>
      <c r="F81" s="23" t="n">
        <v>5</v>
      </c>
      <c r="G81" t="inlineStr">
        <is>
          <t>May</t>
        </is>
      </c>
      <c r="H81">
        <f>IF(C81&lt;40000,"Low",IF(C81&lt;=70000,"Middle","High"))</f>
        <v/>
      </c>
    </row>
    <row r="82">
      <c r="A82" s="17" t="inlineStr">
        <is>
          <t>H081</t>
        </is>
      </c>
      <c r="B82" s="17" t="n">
        <v>4</v>
      </c>
      <c r="C82" s="18" t="n">
        <v>22869</v>
      </c>
      <c r="D82" s="19" t="n">
        <v>496</v>
      </c>
      <c r="E82" s="19" t="n">
        <v>66</v>
      </c>
      <c r="F82" s="20" t="n">
        <v>14</v>
      </c>
      <c r="G82" s="17" t="inlineStr">
        <is>
          <t>Jun</t>
        </is>
      </c>
      <c r="H82" s="17">
        <f>IF(C82&lt;40000,"Low",IF(C82&lt;=70000,"Middle","High"))</f>
        <v/>
      </c>
    </row>
    <row r="83">
      <c r="A83" t="inlineStr">
        <is>
          <t>H082</t>
        </is>
      </c>
      <c r="B83" t="n">
        <v>2</v>
      </c>
      <c r="C83" s="21" t="n">
        <v>81135</v>
      </c>
      <c r="D83" s="22" t="n">
        <v>286</v>
      </c>
      <c r="E83" s="22" t="n">
        <v>133</v>
      </c>
      <c r="F83" s="23" t="n">
        <v>7</v>
      </c>
      <c r="G83" t="inlineStr">
        <is>
          <t>Sep</t>
        </is>
      </c>
      <c r="H83">
        <f>IF(C83&lt;40000,"Low",IF(C83&lt;=70000,"Middle","High"))</f>
        <v/>
      </c>
    </row>
    <row r="84">
      <c r="A84" s="17" t="inlineStr">
        <is>
          <t>H083</t>
        </is>
      </c>
      <c r="B84" s="17" t="n">
        <v>6</v>
      </c>
      <c r="C84" s="18" t="n">
        <v>70108</v>
      </c>
      <c r="D84" s="19" t="n">
        <v>118</v>
      </c>
      <c r="E84" s="19" t="n">
        <v>118</v>
      </c>
      <c r="F84" s="20" t="n">
        <v>10</v>
      </c>
      <c r="G84" s="17" t="inlineStr">
        <is>
          <t>Feb</t>
        </is>
      </c>
      <c r="H84" s="17">
        <f>IF(C84&lt;40000,"Low",IF(C84&lt;=70000,"Middle","High"))</f>
        <v/>
      </c>
    </row>
    <row r="85">
      <c r="A85" t="inlineStr">
        <is>
          <t>H084</t>
        </is>
      </c>
      <c r="B85" t="n">
        <v>6</v>
      </c>
      <c r="C85" s="21" t="n">
        <v>58467</v>
      </c>
      <c r="D85" s="22" t="n">
        <v>276</v>
      </c>
      <c r="E85" s="22" t="n">
        <v>83</v>
      </c>
      <c r="F85" s="23" t="n">
        <v>2</v>
      </c>
      <c r="G85" t="inlineStr">
        <is>
          <t>May</t>
        </is>
      </c>
      <c r="H85">
        <f>IF(C85&lt;40000,"Low",IF(C85&lt;=70000,"Middle","High"))</f>
        <v/>
      </c>
    </row>
    <row r="86">
      <c r="A86" s="17" t="inlineStr">
        <is>
          <t>H085</t>
        </is>
      </c>
      <c r="B86" s="17" t="n">
        <v>6</v>
      </c>
      <c r="C86" s="18" t="n">
        <v>43328</v>
      </c>
      <c r="D86" s="19" t="n">
        <v>199</v>
      </c>
      <c r="E86" s="19" t="n">
        <v>55</v>
      </c>
      <c r="F86" s="20" t="n">
        <v>14</v>
      </c>
      <c r="G86" s="17" t="inlineStr">
        <is>
          <t>Dec</t>
        </is>
      </c>
      <c r="H86" s="17">
        <f>IF(C86&lt;40000,"Low",IF(C86&lt;=70000,"Middle","High"))</f>
        <v/>
      </c>
    </row>
    <row r="87">
      <c r="A87" t="inlineStr">
        <is>
          <t>H086</t>
        </is>
      </c>
      <c r="B87" t="n">
        <v>2</v>
      </c>
      <c r="C87" s="21" t="n">
        <v>23987</v>
      </c>
      <c r="D87" s="22" t="n">
        <v>495</v>
      </c>
      <c r="E87" s="22" t="n">
        <v>102</v>
      </c>
      <c r="F87" s="23" t="n">
        <v>6</v>
      </c>
      <c r="G87" t="inlineStr">
        <is>
          <t>Mar</t>
        </is>
      </c>
      <c r="H87">
        <f>IF(C87&lt;40000,"Low",IF(C87&lt;=70000,"Middle","High"))</f>
        <v/>
      </c>
    </row>
    <row r="88">
      <c r="A88" s="17" t="inlineStr">
        <is>
          <t>H087</t>
        </is>
      </c>
      <c r="B88" s="17" t="n">
        <v>4</v>
      </c>
      <c r="C88" s="18" t="n">
        <v>78871</v>
      </c>
      <c r="D88" s="19" t="n">
        <v>332</v>
      </c>
      <c r="E88" s="19" t="n">
        <v>175</v>
      </c>
      <c r="F88" s="20" t="n">
        <v>12</v>
      </c>
      <c r="G88" s="17" t="inlineStr">
        <is>
          <t>Apr</t>
        </is>
      </c>
      <c r="H88" s="17">
        <f>IF(C88&lt;40000,"Low",IF(C88&lt;=70000,"Middle","High"))</f>
        <v/>
      </c>
    </row>
    <row r="89">
      <c r="A89" t="inlineStr">
        <is>
          <t>H088</t>
        </is>
      </c>
      <c r="B89" t="n">
        <v>6</v>
      </c>
      <c r="C89" s="21" t="n">
        <v>42399</v>
      </c>
      <c r="D89" s="22" t="n">
        <v>175</v>
      </c>
      <c r="E89" s="22" t="n">
        <v>92</v>
      </c>
      <c r="F89" s="23" t="n">
        <v>8</v>
      </c>
      <c r="G89" t="inlineStr">
        <is>
          <t>Oct</t>
        </is>
      </c>
      <c r="H89">
        <f>IF(C89&lt;40000,"Low",IF(C89&lt;=70000,"Middle","High"))</f>
        <v/>
      </c>
    </row>
    <row r="90">
      <c r="A90" s="17" t="inlineStr">
        <is>
          <t>H089</t>
        </is>
      </c>
      <c r="B90" s="17" t="n">
        <v>5</v>
      </c>
      <c r="C90" s="18" t="n">
        <v>66214</v>
      </c>
      <c r="D90" s="19" t="n">
        <v>364</v>
      </c>
      <c r="E90" s="19" t="n">
        <v>164</v>
      </c>
      <c r="F90" s="20" t="n">
        <v>2</v>
      </c>
      <c r="G90" s="17" t="inlineStr">
        <is>
          <t>Jun</t>
        </is>
      </c>
      <c r="H90" s="17">
        <f>IF(C90&lt;40000,"Low",IF(C90&lt;=70000,"Middle","High"))</f>
        <v/>
      </c>
    </row>
    <row r="91">
      <c r="A91" t="inlineStr">
        <is>
          <t>H090</t>
        </is>
      </c>
      <c r="B91" t="n">
        <v>7</v>
      </c>
      <c r="C91" s="21" t="n">
        <v>90271</v>
      </c>
      <c r="D91" s="22" t="n">
        <v>383</v>
      </c>
      <c r="E91" s="22" t="n">
        <v>160</v>
      </c>
      <c r="F91" s="23" t="n">
        <v>5</v>
      </c>
      <c r="G91" t="inlineStr">
        <is>
          <t>Dec</t>
        </is>
      </c>
      <c r="H91">
        <f>IF(C91&lt;40000,"Low",IF(C91&lt;=70000,"Middle","High"))</f>
        <v/>
      </c>
    </row>
    <row r="92">
      <c r="A92" s="17" t="inlineStr">
        <is>
          <t>H091</t>
        </is>
      </c>
      <c r="B92" s="17" t="n">
        <v>2</v>
      </c>
      <c r="C92" s="18" t="n">
        <v>64064</v>
      </c>
      <c r="D92" s="19" t="n">
        <v>305</v>
      </c>
      <c r="E92" s="19" t="n">
        <v>200</v>
      </c>
      <c r="F92" s="20" t="n">
        <v>7</v>
      </c>
      <c r="G92" s="17" t="inlineStr">
        <is>
          <t>Aug</t>
        </is>
      </c>
      <c r="H92" s="17">
        <f>IF(C92&lt;40000,"Low",IF(C92&lt;=70000,"Middle","High"))</f>
        <v/>
      </c>
    </row>
    <row r="93">
      <c r="A93" t="inlineStr">
        <is>
          <t>H092</t>
        </is>
      </c>
      <c r="B93" t="n">
        <v>2</v>
      </c>
      <c r="C93" s="21" t="n">
        <v>90091</v>
      </c>
      <c r="D93" s="22" t="n">
        <v>322</v>
      </c>
      <c r="E93" s="22" t="n">
        <v>129</v>
      </c>
      <c r="F93" s="23" t="n">
        <v>3</v>
      </c>
      <c r="G93" t="inlineStr">
        <is>
          <t>Jan</t>
        </is>
      </c>
      <c r="H93">
        <f>IF(C93&lt;40000,"Low",IF(C93&lt;=70000,"Middle","High"))</f>
        <v/>
      </c>
    </row>
    <row r="94">
      <c r="A94" s="17" t="inlineStr">
        <is>
          <t>H093</t>
        </is>
      </c>
      <c r="B94" s="17" t="n">
        <v>4</v>
      </c>
      <c r="C94" s="18" t="n">
        <v>60818</v>
      </c>
      <c r="D94" s="19" t="n">
        <v>483</v>
      </c>
      <c r="E94" s="19" t="n">
        <v>144</v>
      </c>
      <c r="F94" s="20" t="n">
        <v>11</v>
      </c>
      <c r="G94" s="17" t="inlineStr">
        <is>
          <t>Oct</t>
        </is>
      </c>
      <c r="H94" s="17">
        <f>IF(C94&lt;40000,"Low",IF(C94&lt;=70000,"Middle","High"))</f>
        <v/>
      </c>
    </row>
    <row r="95">
      <c r="A95" t="inlineStr">
        <is>
          <t>H094</t>
        </is>
      </c>
      <c r="B95" t="n">
        <v>2</v>
      </c>
      <c r="C95" s="21" t="n">
        <v>65525</v>
      </c>
      <c r="D95" s="22" t="n">
        <v>151</v>
      </c>
      <c r="E95" s="22" t="n">
        <v>167</v>
      </c>
      <c r="F95" s="23" t="n">
        <v>6</v>
      </c>
      <c r="G95" t="inlineStr">
        <is>
          <t>Aug</t>
        </is>
      </c>
      <c r="H95">
        <f>IF(C95&lt;40000,"Low",IF(C95&lt;=70000,"Middle","High"))</f>
        <v/>
      </c>
    </row>
    <row r="96">
      <c r="A96" s="17" t="inlineStr">
        <is>
          <t>H095</t>
        </is>
      </c>
      <c r="B96" s="17" t="n">
        <v>2</v>
      </c>
      <c r="C96" s="18" t="n">
        <v>39830</v>
      </c>
      <c r="D96" s="19" t="n">
        <v>438</v>
      </c>
      <c r="E96" s="19" t="n">
        <v>193</v>
      </c>
      <c r="F96" s="20" t="n">
        <v>12</v>
      </c>
      <c r="G96" s="17" t="inlineStr">
        <is>
          <t>Nov</t>
        </is>
      </c>
      <c r="H96" s="17">
        <f>IF(C96&lt;40000,"Low",IF(C96&lt;=70000,"Middle","High"))</f>
        <v/>
      </c>
    </row>
    <row r="97">
      <c r="A97" t="inlineStr">
        <is>
          <t>H096</t>
        </is>
      </c>
      <c r="B97" t="n">
        <v>6</v>
      </c>
      <c r="C97" s="21" t="n">
        <v>37429</v>
      </c>
      <c r="D97" s="22" t="n">
        <v>466</v>
      </c>
      <c r="E97" s="22" t="n">
        <v>57</v>
      </c>
      <c r="F97" s="23" t="n">
        <v>11</v>
      </c>
      <c r="G97" t="inlineStr">
        <is>
          <t>Jul</t>
        </is>
      </c>
      <c r="H97">
        <f>IF(C97&lt;40000,"Low",IF(C97&lt;=70000,"Middle","High"))</f>
        <v/>
      </c>
    </row>
    <row r="98">
      <c r="A98" s="17" t="inlineStr">
        <is>
          <t>H097</t>
        </is>
      </c>
      <c r="B98" s="17" t="n">
        <v>4</v>
      </c>
      <c r="C98" s="18" t="n">
        <v>26893</v>
      </c>
      <c r="D98" s="19" t="n">
        <v>243</v>
      </c>
      <c r="E98" s="19" t="n">
        <v>181</v>
      </c>
      <c r="F98" s="20" t="n">
        <v>2</v>
      </c>
      <c r="G98" s="17" t="inlineStr">
        <is>
          <t>Jan</t>
        </is>
      </c>
      <c r="H98" s="17">
        <f>IF(C98&lt;40000,"Low",IF(C98&lt;=70000,"Middle","High"))</f>
        <v/>
      </c>
    </row>
    <row r="99">
      <c r="A99" t="inlineStr">
        <is>
          <t>H098</t>
        </is>
      </c>
      <c r="B99" t="n">
        <v>6</v>
      </c>
      <c r="C99" s="21" t="n">
        <v>99909</v>
      </c>
      <c r="D99" s="22" t="n">
        <v>472</v>
      </c>
      <c r="E99" s="22" t="n">
        <v>153</v>
      </c>
      <c r="F99" s="23" t="n">
        <v>7</v>
      </c>
      <c r="G99" t="inlineStr">
        <is>
          <t>Feb</t>
        </is>
      </c>
      <c r="H99">
        <f>IF(C99&lt;40000,"Low",IF(C99&lt;=70000,"Middle","High"))</f>
        <v/>
      </c>
    </row>
    <row r="100">
      <c r="A100" s="17" t="inlineStr">
        <is>
          <t>H099</t>
        </is>
      </c>
      <c r="B100" s="17" t="n">
        <v>7</v>
      </c>
      <c r="C100" s="18" t="n">
        <v>67333</v>
      </c>
      <c r="D100" s="19" t="n">
        <v>168</v>
      </c>
      <c r="E100" s="19" t="n">
        <v>181</v>
      </c>
      <c r="F100" s="20" t="n">
        <v>7</v>
      </c>
      <c r="G100" s="17" t="inlineStr">
        <is>
          <t>Mar</t>
        </is>
      </c>
      <c r="H100" s="17">
        <f>IF(C100&lt;40000,"Low",IF(C100&lt;=70000,"Middle","High"))</f>
        <v/>
      </c>
    </row>
    <row r="101">
      <c r="A101" t="inlineStr">
        <is>
          <t>H100</t>
        </is>
      </c>
      <c r="B101" t="n">
        <v>7</v>
      </c>
      <c r="C101" s="21" t="n">
        <v>23436</v>
      </c>
      <c r="D101" s="22" t="n">
        <v>198</v>
      </c>
      <c r="E101" s="22" t="n">
        <v>74</v>
      </c>
      <c r="F101" s="23" t="n">
        <v>14</v>
      </c>
      <c r="G101" t="inlineStr">
        <is>
          <t>Jan</t>
        </is>
      </c>
      <c r="H101">
        <f>IF(C101&lt;40000,"Low",IF(C101&lt;=70000,"Middle","High"))</f>
        <v/>
      </c>
    </row>
    <row r="102">
      <c r="A102" s="17" t="inlineStr">
        <is>
          <t>H101</t>
        </is>
      </c>
      <c r="B102" s="17" t="n">
        <v>6</v>
      </c>
      <c r="C102" s="18" t="n">
        <v>94290</v>
      </c>
      <c r="D102" s="19" t="n">
        <v>495</v>
      </c>
      <c r="E102" s="19" t="n">
        <v>145</v>
      </c>
      <c r="F102" s="20" t="n">
        <v>5</v>
      </c>
      <c r="G102" s="17" t="inlineStr">
        <is>
          <t>Sep</t>
        </is>
      </c>
      <c r="H102" s="17">
        <f>IF(C102&lt;40000,"Low",IF(C102&lt;=70000,"Middle","High"))</f>
        <v/>
      </c>
    </row>
    <row r="103">
      <c r="A103" t="inlineStr">
        <is>
          <t>H102</t>
        </is>
      </c>
      <c r="B103" t="n">
        <v>7</v>
      </c>
      <c r="C103" s="21" t="n">
        <v>96213</v>
      </c>
      <c r="D103" s="22" t="n">
        <v>124</v>
      </c>
      <c r="E103" s="22" t="n">
        <v>142</v>
      </c>
      <c r="F103" s="23" t="n">
        <v>14</v>
      </c>
      <c r="G103" t="inlineStr">
        <is>
          <t>Aug</t>
        </is>
      </c>
      <c r="H103">
        <f>IF(C103&lt;40000,"Low",IF(C103&lt;=70000,"Middle","High"))</f>
        <v/>
      </c>
    </row>
    <row r="104">
      <c r="A104" s="17" t="inlineStr">
        <is>
          <t>H103</t>
        </is>
      </c>
      <c r="B104" s="17" t="n">
        <v>4</v>
      </c>
      <c r="C104" s="18" t="n">
        <v>25895</v>
      </c>
      <c r="D104" s="19" t="n">
        <v>478</v>
      </c>
      <c r="E104" s="19" t="n">
        <v>110</v>
      </c>
      <c r="F104" s="20" t="n">
        <v>9</v>
      </c>
      <c r="G104" s="17" t="inlineStr">
        <is>
          <t>Feb</t>
        </is>
      </c>
      <c r="H104" s="17">
        <f>IF(C104&lt;40000,"Low",IF(C104&lt;=70000,"Middle","High"))</f>
        <v/>
      </c>
    </row>
    <row r="105">
      <c r="A105" t="inlineStr">
        <is>
          <t>H104</t>
        </is>
      </c>
      <c r="B105" t="n">
        <v>1</v>
      </c>
      <c r="C105" s="21" t="n">
        <v>39738</v>
      </c>
      <c r="D105" s="22" t="n">
        <v>152</v>
      </c>
      <c r="E105" s="22" t="n">
        <v>171</v>
      </c>
      <c r="F105" s="23" t="n">
        <v>5</v>
      </c>
      <c r="G105" t="inlineStr">
        <is>
          <t>Sep</t>
        </is>
      </c>
      <c r="H105">
        <f>IF(C105&lt;40000,"Low",IF(C105&lt;=70000,"Middle","High"))</f>
        <v/>
      </c>
    </row>
    <row r="106">
      <c r="A106" s="17" t="inlineStr">
        <is>
          <t>H105</t>
        </is>
      </c>
      <c r="B106" s="17" t="n">
        <v>6</v>
      </c>
      <c r="C106" s="18" t="n">
        <v>50746</v>
      </c>
      <c r="D106" s="19" t="n">
        <v>250</v>
      </c>
      <c r="E106" s="19" t="n">
        <v>100</v>
      </c>
      <c r="F106" s="20" t="n">
        <v>9</v>
      </c>
      <c r="G106" s="17" t="inlineStr">
        <is>
          <t>Jul</t>
        </is>
      </c>
      <c r="H106" s="17">
        <f>IF(C106&lt;40000,"Low",IF(C106&lt;=70000,"Middle","High"))</f>
        <v/>
      </c>
    </row>
    <row r="107">
      <c r="A107" t="inlineStr">
        <is>
          <t>H106</t>
        </is>
      </c>
      <c r="B107" t="n">
        <v>5</v>
      </c>
      <c r="C107" s="21" t="n">
        <v>69377</v>
      </c>
      <c r="D107" s="22" t="n">
        <v>243</v>
      </c>
      <c r="E107" s="22" t="n">
        <v>196</v>
      </c>
      <c r="F107" s="23" t="n">
        <v>14</v>
      </c>
      <c r="G107" t="inlineStr">
        <is>
          <t>Sep</t>
        </is>
      </c>
      <c r="H107">
        <f>IF(C107&lt;40000,"Low",IF(C107&lt;=70000,"Middle","High"))</f>
        <v/>
      </c>
    </row>
    <row r="108">
      <c r="A108" s="17" t="inlineStr">
        <is>
          <t>H107</t>
        </is>
      </c>
      <c r="B108" s="17" t="n">
        <v>5</v>
      </c>
      <c r="C108" s="18" t="n">
        <v>68404</v>
      </c>
      <c r="D108" s="19" t="n">
        <v>156</v>
      </c>
      <c r="E108" s="19" t="n">
        <v>70</v>
      </c>
      <c r="F108" s="20" t="n">
        <v>9</v>
      </c>
      <c r="G108" s="17" t="inlineStr">
        <is>
          <t>Jun</t>
        </is>
      </c>
      <c r="H108" s="17">
        <f>IF(C108&lt;40000,"Low",IF(C108&lt;=70000,"Middle","High"))</f>
        <v/>
      </c>
    </row>
    <row r="109">
      <c r="A109" t="inlineStr">
        <is>
          <t>H108</t>
        </is>
      </c>
      <c r="B109" t="n">
        <v>2</v>
      </c>
      <c r="C109" s="21" t="n">
        <v>74045</v>
      </c>
      <c r="D109" s="22" t="n">
        <v>138</v>
      </c>
      <c r="E109" s="22" t="n">
        <v>54</v>
      </c>
      <c r="F109" s="23" t="n">
        <v>6</v>
      </c>
      <c r="G109" t="inlineStr">
        <is>
          <t>Jun</t>
        </is>
      </c>
      <c r="H109">
        <f>IF(C109&lt;40000,"Low",IF(C109&lt;=70000,"Middle","High"))</f>
        <v/>
      </c>
    </row>
    <row r="110">
      <c r="A110" s="17" t="inlineStr">
        <is>
          <t>H109</t>
        </is>
      </c>
      <c r="B110" s="17" t="n">
        <v>7</v>
      </c>
      <c r="C110" s="18" t="n">
        <v>59790</v>
      </c>
      <c r="D110" s="19" t="n">
        <v>208</v>
      </c>
      <c r="E110" s="19" t="n">
        <v>141</v>
      </c>
      <c r="F110" s="20" t="n">
        <v>14</v>
      </c>
      <c r="G110" s="17" t="inlineStr">
        <is>
          <t>Nov</t>
        </is>
      </c>
      <c r="H110" s="17">
        <f>IF(C110&lt;40000,"Low",IF(C110&lt;=70000,"Middle","High"))</f>
        <v/>
      </c>
    </row>
    <row r="111">
      <c r="A111" t="inlineStr">
        <is>
          <t>H110</t>
        </is>
      </c>
      <c r="B111" t="n">
        <v>5</v>
      </c>
      <c r="C111" s="21" t="n">
        <v>25600</v>
      </c>
      <c r="D111" s="22" t="n">
        <v>280</v>
      </c>
      <c r="E111" s="22" t="n">
        <v>110</v>
      </c>
      <c r="F111" s="23" t="n">
        <v>5</v>
      </c>
      <c r="G111" t="inlineStr">
        <is>
          <t>Apr</t>
        </is>
      </c>
      <c r="H111">
        <f>IF(C111&lt;40000,"Low",IF(C111&lt;=70000,"Middle","High"))</f>
        <v/>
      </c>
    </row>
    <row r="112">
      <c r="A112" s="17" t="inlineStr">
        <is>
          <t>H111</t>
        </is>
      </c>
      <c r="B112" s="17" t="n">
        <v>2</v>
      </c>
      <c r="C112" s="18" t="n">
        <v>60764</v>
      </c>
      <c r="D112" s="19" t="n">
        <v>141</v>
      </c>
      <c r="E112" s="19" t="n">
        <v>71</v>
      </c>
      <c r="F112" s="20" t="n">
        <v>13</v>
      </c>
      <c r="G112" s="17" t="inlineStr">
        <is>
          <t>Oct</t>
        </is>
      </c>
      <c r="H112" s="17">
        <f>IF(C112&lt;40000,"Low",IF(C112&lt;=70000,"Middle","High"))</f>
        <v/>
      </c>
    </row>
    <row r="113">
      <c r="A113" t="inlineStr">
        <is>
          <t>H112</t>
        </is>
      </c>
      <c r="B113" t="n">
        <v>1</v>
      </c>
      <c r="C113" s="21" t="n">
        <v>94543</v>
      </c>
      <c r="D113" s="22" t="n">
        <v>285</v>
      </c>
      <c r="E113" s="22" t="n">
        <v>198</v>
      </c>
      <c r="F113" s="23" t="n">
        <v>14</v>
      </c>
      <c r="G113" t="inlineStr">
        <is>
          <t>Oct</t>
        </is>
      </c>
      <c r="H113">
        <f>IF(C113&lt;40000,"Low",IF(C113&lt;=70000,"Middle","High"))</f>
        <v/>
      </c>
    </row>
    <row r="114">
      <c r="A114" s="17" t="inlineStr">
        <is>
          <t>H113</t>
        </is>
      </c>
      <c r="B114" s="17" t="n">
        <v>4</v>
      </c>
      <c r="C114" s="18" t="n">
        <v>65714</v>
      </c>
      <c r="D114" s="19" t="n">
        <v>497</v>
      </c>
      <c r="E114" s="19" t="n">
        <v>119</v>
      </c>
      <c r="F114" s="20" t="n">
        <v>3</v>
      </c>
      <c r="G114" s="17" t="inlineStr">
        <is>
          <t>Feb</t>
        </is>
      </c>
      <c r="H114" s="17">
        <f>IF(C114&lt;40000,"Low",IF(C114&lt;=70000,"Middle","High"))</f>
        <v/>
      </c>
    </row>
    <row r="115">
      <c r="A115" t="inlineStr">
        <is>
          <t>H114</t>
        </is>
      </c>
      <c r="B115" t="n">
        <v>4</v>
      </c>
      <c r="C115" s="21" t="n">
        <v>76835</v>
      </c>
      <c r="D115" s="22" t="n">
        <v>322</v>
      </c>
      <c r="E115" s="22" t="n">
        <v>50</v>
      </c>
      <c r="F115" s="23" t="n">
        <v>12</v>
      </c>
      <c r="G115" t="inlineStr">
        <is>
          <t>Jul</t>
        </is>
      </c>
      <c r="H115">
        <f>IF(C115&lt;40000,"Low",IF(C115&lt;=70000,"Middle","High"))</f>
        <v/>
      </c>
    </row>
    <row r="116">
      <c r="A116" s="17" t="inlineStr">
        <is>
          <t>H115</t>
        </is>
      </c>
      <c r="B116" s="17" t="n">
        <v>4</v>
      </c>
      <c r="C116" s="18" t="n">
        <v>93744</v>
      </c>
      <c r="D116" s="19" t="n">
        <v>221</v>
      </c>
      <c r="E116" s="19" t="n">
        <v>182</v>
      </c>
      <c r="F116" s="20" t="n">
        <v>4</v>
      </c>
      <c r="G116" s="17" t="inlineStr">
        <is>
          <t>May</t>
        </is>
      </c>
      <c r="H116" s="17">
        <f>IF(C116&lt;40000,"Low",IF(C116&lt;=70000,"Middle","High"))</f>
        <v/>
      </c>
    </row>
    <row r="117">
      <c r="A117" t="inlineStr">
        <is>
          <t>H116</t>
        </is>
      </c>
      <c r="B117" t="n">
        <v>5</v>
      </c>
      <c r="C117" s="21" t="n">
        <v>76491</v>
      </c>
      <c r="D117" s="22" t="n">
        <v>232</v>
      </c>
      <c r="E117" s="22" t="n">
        <v>61</v>
      </c>
      <c r="F117" s="23" t="n">
        <v>4</v>
      </c>
      <c r="G117" t="inlineStr">
        <is>
          <t>Nov</t>
        </is>
      </c>
      <c r="H117">
        <f>IF(C117&lt;40000,"Low",IF(C117&lt;=70000,"Middle","High"))</f>
        <v/>
      </c>
    </row>
    <row r="118">
      <c r="A118" s="17" t="inlineStr">
        <is>
          <t>H117</t>
        </is>
      </c>
      <c r="B118" s="17" t="n">
        <v>1</v>
      </c>
      <c r="C118" s="18" t="n">
        <v>38589</v>
      </c>
      <c r="D118" s="19" t="n">
        <v>262</v>
      </c>
      <c r="E118" s="19" t="n">
        <v>139</v>
      </c>
      <c r="F118" s="20" t="n">
        <v>5</v>
      </c>
      <c r="G118" s="17" t="inlineStr">
        <is>
          <t>Jun</t>
        </is>
      </c>
      <c r="H118" s="17">
        <f>IF(C118&lt;40000,"Low",IF(C118&lt;=70000,"Middle","High"))</f>
        <v/>
      </c>
    </row>
    <row r="119">
      <c r="A119" t="inlineStr">
        <is>
          <t>H118</t>
        </is>
      </c>
      <c r="B119" t="n">
        <v>5</v>
      </c>
      <c r="C119" s="21" t="n">
        <v>63484</v>
      </c>
      <c r="D119" s="22" t="n">
        <v>314</v>
      </c>
      <c r="E119" s="22" t="n">
        <v>95</v>
      </c>
      <c r="F119" s="23" t="n">
        <v>5</v>
      </c>
      <c r="G119" t="inlineStr">
        <is>
          <t>Feb</t>
        </is>
      </c>
      <c r="H119">
        <f>IF(C119&lt;40000,"Low",IF(C119&lt;=70000,"Middle","High"))</f>
        <v/>
      </c>
    </row>
    <row r="120">
      <c r="A120" s="17" t="inlineStr">
        <is>
          <t>H119</t>
        </is>
      </c>
      <c r="B120" s="17" t="n">
        <v>7</v>
      </c>
      <c r="C120" s="18" t="n">
        <v>56212</v>
      </c>
      <c r="D120" s="19" t="n">
        <v>320</v>
      </c>
      <c r="E120" s="19" t="n">
        <v>83</v>
      </c>
      <c r="F120" s="20" t="n">
        <v>11</v>
      </c>
      <c r="G120" s="17" t="inlineStr">
        <is>
          <t>May</t>
        </is>
      </c>
      <c r="H120" s="17">
        <f>IF(C120&lt;40000,"Low",IF(C120&lt;=70000,"Middle","High"))</f>
        <v/>
      </c>
    </row>
    <row r="121">
      <c r="A121" t="inlineStr">
        <is>
          <t>H120</t>
        </is>
      </c>
      <c r="B121" t="n">
        <v>5</v>
      </c>
      <c r="C121" s="21" t="n">
        <v>63525</v>
      </c>
      <c r="D121" s="22" t="n">
        <v>334</v>
      </c>
      <c r="E121" s="22" t="n">
        <v>127</v>
      </c>
      <c r="F121" s="23" t="n">
        <v>12</v>
      </c>
      <c r="G121" t="inlineStr">
        <is>
          <t>Oct</t>
        </is>
      </c>
      <c r="H121">
        <f>IF(C121&lt;40000,"Low",IF(C121&lt;=70000,"Middle","High"))</f>
        <v/>
      </c>
    </row>
    <row r="122">
      <c r="A122" s="17" t="inlineStr">
        <is>
          <t>H121</t>
        </is>
      </c>
      <c r="B122" s="17" t="n">
        <v>1</v>
      </c>
      <c r="C122" s="18" t="n">
        <v>67202</v>
      </c>
      <c r="D122" s="19" t="n">
        <v>430</v>
      </c>
      <c r="E122" s="19" t="n">
        <v>94</v>
      </c>
      <c r="F122" s="20" t="n">
        <v>12</v>
      </c>
      <c r="G122" s="17" t="inlineStr">
        <is>
          <t>Apr</t>
        </is>
      </c>
      <c r="H122" s="17">
        <f>IF(C122&lt;40000,"Low",IF(C122&lt;=70000,"Middle","High"))</f>
        <v/>
      </c>
    </row>
    <row r="123">
      <c r="A123" t="inlineStr">
        <is>
          <t>H122</t>
        </is>
      </c>
      <c r="B123" t="n">
        <v>1</v>
      </c>
      <c r="C123" s="21" t="n">
        <v>52635</v>
      </c>
      <c r="D123" s="22" t="n">
        <v>245</v>
      </c>
      <c r="E123" s="22" t="n">
        <v>122</v>
      </c>
      <c r="F123" s="23" t="n">
        <v>6</v>
      </c>
      <c r="G123" t="inlineStr">
        <is>
          <t>Sep</t>
        </is>
      </c>
      <c r="H123">
        <f>IF(C123&lt;40000,"Low",IF(C123&lt;=70000,"Middle","High"))</f>
        <v/>
      </c>
    </row>
    <row r="124">
      <c r="A124" s="17" t="inlineStr">
        <is>
          <t>H123</t>
        </is>
      </c>
      <c r="B124" s="17" t="n">
        <v>7</v>
      </c>
      <c r="C124" s="18" t="n">
        <v>83208</v>
      </c>
      <c r="D124" s="19" t="n">
        <v>338</v>
      </c>
      <c r="E124" s="19" t="n">
        <v>75</v>
      </c>
      <c r="F124" s="20" t="n">
        <v>5</v>
      </c>
      <c r="G124" s="17" t="inlineStr">
        <is>
          <t>Jun</t>
        </is>
      </c>
      <c r="H124" s="17">
        <f>IF(C124&lt;40000,"Low",IF(C124&lt;=70000,"Middle","High"))</f>
        <v/>
      </c>
    </row>
    <row r="125">
      <c r="A125" t="inlineStr">
        <is>
          <t>H124</t>
        </is>
      </c>
      <c r="B125" t="n">
        <v>1</v>
      </c>
      <c r="C125" s="21" t="n">
        <v>53828</v>
      </c>
      <c r="D125" s="22" t="n">
        <v>175</v>
      </c>
      <c r="E125" s="22" t="n">
        <v>96</v>
      </c>
      <c r="F125" s="23" t="n">
        <v>12</v>
      </c>
      <c r="G125" t="inlineStr">
        <is>
          <t>Feb</t>
        </is>
      </c>
      <c r="H125">
        <f>IF(C125&lt;40000,"Low",IF(C125&lt;=70000,"Middle","High"))</f>
        <v/>
      </c>
    </row>
    <row r="126">
      <c r="A126" s="17" t="inlineStr">
        <is>
          <t>H125</t>
        </is>
      </c>
      <c r="B126" s="17" t="n">
        <v>1</v>
      </c>
      <c r="C126" s="18" t="n">
        <v>38711</v>
      </c>
      <c r="D126" s="19" t="n">
        <v>108</v>
      </c>
      <c r="E126" s="19" t="n">
        <v>170</v>
      </c>
      <c r="F126" s="20" t="n">
        <v>11</v>
      </c>
      <c r="G126" s="17" t="inlineStr">
        <is>
          <t>Jan</t>
        </is>
      </c>
      <c r="H126" s="17">
        <f>IF(C126&lt;40000,"Low",IF(C126&lt;=70000,"Middle","High"))</f>
        <v/>
      </c>
    </row>
    <row r="127">
      <c r="A127" t="inlineStr">
        <is>
          <t>H126</t>
        </is>
      </c>
      <c r="B127" t="n">
        <v>4</v>
      </c>
      <c r="C127" s="21" t="n">
        <v>23420</v>
      </c>
      <c r="D127" s="22" t="n">
        <v>173</v>
      </c>
      <c r="E127" s="22" t="n">
        <v>105</v>
      </c>
      <c r="F127" s="23" t="n">
        <v>9</v>
      </c>
      <c r="G127" t="inlineStr">
        <is>
          <t>May</t>
        </is>
      </c>
      <c r="H127">
        <f>IF(C127&lt;40000,"Low",IF(C127&lt;=70000,"Middle","High"))</f>
        <v/>
      </c>
    </row>
    <row r="128">
      <c r="A128" s="17" t="inlineStr">
        <is>
          <t>H127</t>
        </is>
      </c>
      <c r="B128" s="17" t="n">
        <v>7</v>
      </c>
      <c r="C128" s="18" t="n">
        <v>20301</v>
      </c>
      <c r="D128" s="19" t="n">
        <v>500</v>
      </c>
      <c r="E128" s="19" t="n">
        <v>143</v>
      </c>
      <c r="F128" s="20" t="n">
        <v>7</v>
      </c>
      <c r="G128" s="17" t="inlineStr">
        <is>
          <t>Sep</t>
        </is>
      </c>
      <c r="H128" s="17">
        <f>IF(C128&lt;40000,"Low",IF(C128&lt;=70000,"Middle","High"))</f>
        <v/>
      </c>
    </row>
    <row r="129">
      <c r="A129" t="inlineStr">
        <is>
          <t>H128</t>
        </is>
      </c>
      <c r="B129" t="n">
        <v>3</v>
      </c>
      <c r="C129" s="21" t="n">
        <v>65236</v>
      </c>
      <c r="D129" s="22" t="n">
        <v>352</v>
      </c>
      <c r="E129" s="22" t="n">
        <v>156</v>
      </c>
      <c r="F129" s="23" t="n">
        <v>7</v>
      </c>
      <c r="G129" t="inlineStr">
        <is>
          <t>Jun</t>
        </is>
      </c>
      <c r="H129">
        <f>IF(C129&lt;40000,"Low",IF(C129&lt;=70000,"Middle","High"))</f>
        <v/>
      </c>
    </row>
    <row r="130">
      <c r="A130" s="17" t="inlineStr">
        <is>
          <t>H129</t>
        </is>
      </c>
      <c r="B130" s="17" t="n">
        <v>3</v>
      </c>
      <c r="C130" s="18" t="n">
        <v>86235</v>
      </c>
      <c r="D130" s="19" t="n">
        <v>329</v>
      </c>
      <c r="E130" s="19" t="n">
        <v>112</v>
      </c>
      <c r="F130" s="20" t="n">
        <v>9</v>
      </c>
      <c r="G130" s="17" t="inlineStr">
        <is>
          <t>Oct</t>
        </is>
      </c>
      <c r="H130" s="17">
        <f>IF(C130&lt;40000,"Low",IF(C130&lt;=70000,"Middle","High"))</f>
        <v/>
      </c>
    </row>
    <row r="131">
      <c r="A131" t="inlineStr">
        <is>
          <t>H130</t>
        </is>
      </c>
      <c r="B131" t="n">
        <v>1</v>
      </c>
      <c r="C131" s="21" t="n">
        <v>74240</v>
      </c>
      <c r="D131" s="22" t="n">
        <v>106</v>
      </c>
      <c r="E131" s="22" t="n">
        <v>97</v>
      </c>
      <c r="F131" s="23" t="n">
        <v>8</v>
      </c>
      <c r="G131" t="inlineStr">
        <is>
          <t>Dec</t>
        </is>
      </c>
      <c r="H131">
        <f>IF(C131&lt;40000,"Low",IF(C131&lt;=70000,"Middle","High"))</f>
        <v/>
      </c>
    </row>
    <row r="132">
      <c r="A132" s="17" t="inlineStr">
        <is>
          <t>H131</t>
        </is>
      </c>
      <c r="B132" s="17" t="n">
        <v>3</v>
      </c>
      <c r="C132" s="18" t="n">
        <v>85726</v>
      </c>
      <c r="D132" s="19" t="n">
        <v>273</v>
      </c>
      <c r="E132" s="19" t="n">
        <v>110</v>
      </c>
      <c r="F132" s="20" t="n">
        <v>11</v>
      </c>
      <c r="G132" s="17" t="inlineStr">
        <is>
          <t>Jul</t>
        </is>
      </c>
      <c r="H132" s="17">
        <f>IF(C132&lt;40000,"Low",IF(C132&lt;=70000,"Middle","High"))</f>
        <v/>
      </c>
    </row>
    <row r="133">
      <c r="A133" t="inlineStr">
        <is>
          <t>H132</t>
        </is>
      </c>
      <c r="B133" t="n">
        <v>3</v>
      </c>
      <c r="C133" s="21" t="n">
        <v>30492</v>
      </c>
      <c r="D133" s="22" t="n">
        <v>240</v>
      </c>
      <c r="E133" s="22" t="n">
        <v>130</v>
      </c>
      <c r="F133" s="23" t="n">
        <v>12</v>
      </c>
      <c r="G133" t="inlineStr">
        <is>
          <t>May</t>
        </is>
      </c>
      <c r="H133">
        <f>IF(C133&lt;40000,"Low",IF(C133&lt;=70000,"Middle","High"))</f>
        <v/>
      </c>
    </row>
    <row r="134">
      <c r="A134" s="17" t="inlineStr">
        <is>
          <t>H133</t>
        </is>
      </c>
      <c r="B134" s="17" t="n">
        <v>1</v>
      </c>
      <c r="C134" s="18" t="n">
        <v>26102</v>
      </c>
      <c r="D134" s="19" t="n">
        <v>267</v>
      </c>
      <c r="E134" s="19" t="n">
        <v>75</v>
      </c>
      <c r="F134" s="20" t="n">
        <v>13</v>
      </c>
      <c r="G134" s="17" t="inlineStr">
        <is>
          <t>Oct</t>
        </is>
      </c>
      <c r="H134" s="17">
        <f>IF(C134&lt;40000,"Low",IF(C134&lt;=70000,"Middle","High"))</f>
        <v/>
      </c>
    </row>
    <row r="135">
      <c r="A135" t="inlineStr">
        <is>
          <t>H134</t>
        </is>
      </c>
      <c r="B135" t="n">
        <v>3</v>
      </c>
      <c r="C135" s="21" t="n">
        <v>70336</v>
      </c>
      <c r="D135" s="22" t="n">
        <v>269</v>
      </c>
      <c r="E135" s="22" t="n">
        <v>85</v>
      </c>
      <c r="F135" s="23" t="n">
        <v>11</v>
      </c>
      <c r="G135" t="inlineStr">
        <is>
          <t>Jun</t>
        </is>
      </c>
      <c r="H135">
        <f>IF(C135&lt;40000,"Low",IF(C135&lt;=70000,"Middle","High"))</f>
        <v/>
      </c>
    </row>
    <row r="136">
      <c r="A136" s="17" t="inlineStr">
        <is>
          <t>H135</t>
        </is>
      </c>
      <c r="B136" s="17" t="n">
        <v>5</v>
      </c>
      <c r="C136" s="18" t="n">
        <v>46641</v>
      </c>
      <c r="D136" s="19" t="n">
        <v>492</v>
      </c>
      <c r="E136" s="19" t="n">
        <v>50</v>
      </c>
      <c r="F136" s="20" t="n">
        <v>14</v>
      </c>
      <c r="G136" s="17" t="inlineStr">
        <is>
          <t>May</t>
        </is>
      </c>
      <c r="H136" s="17">
        <f>IF(C136&lt;40000,"Low",IF(C136&lt;=70000,"Middle","High"))</f>
        <v/>
      </c>
    </row>
    <row r="137">
      <c r="A137" t="inlineStr">
        <is>
          <t>H136</t>
        </is>
      </c>
      <c r="B137" t="n">
        <v>2</v>
      </c>
      <c r="C137" s="21" t="n">
        <v>54584</v>
      </c>
      <c r="D137" s="22" t="n">
        <v>382</v>
      </c>
      <c r="E137" s="22" t="n">
        <v>57</v>
      </c>
      <c r="F137" s="23" t="n">
        <v>9</v>
      </c>
      <c r="G137" t="inlineStr">
        <is>
          <t>Nov</t>
        </is>
      </c>
      <c r="H137">
        <f>IF(C137&lt;40000,"Low",IF(C137&lt;=70000,"Middle","High"))</f>
        <v/>
      </c>
    </row>
    <row r="138">
      <c r="A138" s="17" t="inlineStr">
        <is>
          <t>H137</t>
        </is>
      </c>
      <c r="B138" s="17" t="n">
        <v>7</v>
      </c>
      <c r="C138" s="18" t="n">
        <v>52745</v>
      </c>
      <c r="D138" s="19" t="n">
        <v>221</v>
      </c>
      <c r="E138" s="19" t="n">
        <v>162</v>
      </c>
      <c r="F138" s="20" t="n">
        <v>3</v>
      </c>
      <c r="G138" s="17" t="inlineStr">
        <is>
          <t>Sep</t>
        </is>
      </c>
      <c r="H138" s="17">
        <f>IF(C138&lt;40000,"Low",IF(C138&lt;=70000,"Middle","High"))</f>
        <v/>
      </c>
    </row>
    <row r="139">
      <c r="A139" t="inlineStr">
        <is>
          <t>H138</t>
        </is>
      </c>
      <c r="B139" t="n">
        <v>2</v>
      </c>
      <c r="C139" s="21" t="n">
        <v>43093</v>
      </c>
      <c r="D139" s="22" t="n">
        <v>293</v>
      </c>
      <c r="E139" s="22" t="n">
        <v>148</v>
      </c>
      <c r="F139" s="23" t="n">
        <v>10</v>
      </c>
      <c r="G139" t="inlineStr">
        <is>
          <t>Jun</t>
        </is>
      </c>
      <c r="H139">
        <f>IF(C139&lt;40000,"Low",IF(C139&lt;=70000,"Middle","High"))</f>
        <v/>
      </c>
    </row>
    <row r="140">
      <c r="A140" s="17" t="inlineStr">
        <is>
          <t>H139</t>
        </is>
      </c>
      <c r="B140" s="17" t="n">
        <v>1</v>
      </c>
      <c r="C140" s="18" t="n">
        <v>86105</v>
      </c>
      <c r="D140" s="19" t="n">
        <v>104</v>
      </c>
      <c r="E140" s="19" t="n">
        <v>96</v>
      </c>
      <c r="F140" s="20" t="n">
        <v>2</v>
      </c>
      <c r="G140" s="17" t="inlineStr">
        <is>
          <t>Nov</t>
        </is>
      </c>
      <c r="H140" s="17">
        <f>IF(C140&lt;40000,"Low",IF(C140&lt;=70000,"Middle","High"))</f>
        <v/>
      </c>
    </row>
    <row r="141">
      <c r="A141" t="inlineStr">
        <is>
          <t>H140</t>
        </is>
      </c>
      <c r="B141" t="n">
        <v>4</v>
      </c>
      <c r="C141" s="21" t="n">
        <v>71885</v>
      </c>
      <c r="D141" s="22" t="n">
        <v>128</v>
      </c>
      <c r="E141" s="22" t="n">
        <v>176</v>
      </c>
      <c r="F141" s="23" t="n">
        <v>9</v>
      </c>
      <c r="G141" t="inlineStr">
        <is>
          <t>Aug</t>
        </is>
      </c>
      <c r="H141">
        <f>IF(C141&lt;40000,"Low",IF(C141&lt;=70000,"Middle","High"))</f>
        <v/>
      </c>
    </row>
    <row r="142">
      <c r="A142" s="17" t="inlineStr">
        <is>
          <t>H141</t>
        </is>
      </c>
      <c r="B142" s="17" t="n">
        <v>7</v>
      </c>
      <c r="C142" s="18" t="n">
        <v>56631</v>
      </c>
      <c r="D142" s="19" t="n">
        <v>264</v>
      </c>
      <c r="E142" s="19" t="n">
        <v>105</v>
      </c>
      <c r="F142" s="20" t="n">
        <v>13</v>
      </c>
      <c r="G142" s="17" t="inlineStr">
        <is>
          <t>Feb</t>
        </is>
      </c>
      <c r="H142" s="17">
        <f>IF(C142&lt;40000,"Low",IF(C142&lt;=70000,"Middle","High"))</f>
        <v/>
      </c>
    </row>
    <row r="143">
      <c r="A143" t="inlineStr">
        <is>
          <t>H142</t>
        </is>
      </c>
      <c r="B143" t="n">
        <v>1</v>
      </c>
      <c r="C143" s="21" t="n">
        <v>92991</v>
      </c>
      <c r="D143" s="22" t="n">
        <v>438</v>
      </c>
      <c r="E143" s="22" t="n">
        <v>63</v>
      </c>
      <c r="F143" s="23" t="n">
        <v>12</v>
      </c>
      <c r="G143" t="inlineStr">
        <is>
          <t>Dec</t>
        </is>
      </c>
      <c r="H143">
        <f>IF(C143&lt;40000,"Low",IF(C143&lt;=70000,"Middle","High"))</f>
        <v/>
      </c>
    </row>
    <row r="144">
      <c r="A144" s="17" t="inlineStr">
        <is>
          <t>H143</t>
        </is>
      </c>
      <c r="B144" s="17" t="n">
        <v>4</v>
      </c>
      <c r="C144" s="18" t="n">
        <v>24014</v>
      </c>
      <c r="D144" s="19" t="n">
        <v>235</v>
      </c>
      <c r="E144" s="19" t="n">
        <v>77</v>
      </c>
      <c r="F144" s="20" t="n">
        <v>13</v>
      </c>
      <c r="G144" s="17" t="inlineStr">
        <is>
          <t>Sep</t>
        </is>
      </c>
      <c r="H144" s="17">
        <f>IF(C144&lt;40000,"Low",IF(C144&lt;=70000,"Middle","High"))</f>
        <v/>
      </c>
    </row>
    <row r="145">
      <c r="A145" t="inlineStr">
        <is>
          <t>H144</t>
        </is>
      </c>
      <c r="B145" t="n">
        <v>2</v>
      </c>
      <c r="C145" s="21" t="n">
        <v>31093</v>
      </c>
      <c r="D145" s="22" t="n">
        <v>464</v>
      </c>
      <c r="E145" s="22" t="n">
        <v>127</v>
      </c>
      <c r="F145" s="23" t="n">
        <v>13</v>
      </c>
      <c r="G145" t="inlineStr">
        <is>
          <t>May</t>
        </is>
      </c>
      <c r="H145">
        <f>IF(C145&lt;40000,"Low",IF(C145&lt;=70000,"Middle","High"))</f>
        <v/>
      </c>
    </row>
    <row r="146">
      <c r="A146" s="17" t="inlineStr">
        <is>
          <t>H145</t>
        </is>
      </c>
      <c r="B146" s="17" t="n">
        <v>1</v>
      </c>
      <c r="C146" s="18" t="n">
        <v>38070</v>
      </c>
      <c r="D146" s="19" t="n">
        <v>420</v>
      </c>
      <c r="E146" s="19" t="n">
        <v>179</v>
      </c>
      <c r="F146" s="20" t="n">
        <v>5</v>
      </c>
      <c r="G146" s="17" t="inlineStr">
        <is>
          <t>Jul</t>
        </is>
      </c>
      <c r="H146" s="17">
        <f>IF(C146&lt;40000,"Low",IF(C146&lt;=70000,"Middle","High"))</f>
        <v/>
      </c>
    </row>
    <row r="147">
      <c r="A147" t="inlineStr">
        <is>
          <t>H146</t>
        </is>
      </c>
      <c r="B147" t="n">
        <v>7</v>
      </c>
      <c r="C147" s="21" t="n">
        <v>55777</v>
      </c>
      <c r="D147" s="22" t="n">
        <v>441</v>
      </c>
      <c r="E147" s="22" t="n">
        <v>158</v>
      </c>
      <c r="F147" s="23" t="n">
        <v>5</v>
      </c>
      <c r="G147" t="inlineStr">
        <is>
          <t>Oct</t>
        </is>
      </c>
      <c r="H147">
        <f>IF(C147&lt;40000,"Low",IF(C147&lt;=70000,"Middle","High"))</f>
        <v/>
      </c>
    </row>
    <row r="148">
      <c r="A148" s="17" t="inlineStr">
        <is>
          <t>H147</t>
        </is>
      </c>
      <c r="B148" s="17" t="n">
        <v>7</v>
      </c>
      <c r="C148" s="18" t="n">
        <v>76958</v>
      </c>
      <c r="D148" s="19" t="n">
        <v>244</v>
      </c>
      <c r="E148" s="19" t="n">
        <v>63</v>
      </c>
      <c r="F148" s="20" t="n">
        <v>6</v>
      </c>
      <c r="G148" s="17" t="inlineStr">
        <is>
          <t>Jan</t>
        </is>
      </c>
      <c r="H148" s="17">
        <f>IF(C148&lt;40000,"Low",IF(C148&lt;=70000,"Middle","High"))</f>
        <v/>
      </c>
    </row>
    <row r="149">
      <c r="A149" t="inlineStr">
        <is>
          <t>H148</t>
        </is>
      </c>
      <c r="B149" t="n">
        <v>6</v>
      </c>
      <c r="C149" s="21" t="n">
        <v>30729</v>
      </c>
      <c r="D149" s="22" t="n">
        <v>426</v>
      </c>
      <c r="E149" s="22" t="n">
        <v>105</v>
      </c>
      <c r="F149" s="23" t="n">
        <v>9</v>
      </c>
      <c r="G149" t="inlineStr">
        <is>
          <t>Oct</t>
        </is>
      </c>
      <c r="H149">
        <f>IF(C149&lt;40000,"Low",IF(C149&lt;=70000,"Middle","High"))</f>
        <v/>
      </c>
    </row>
    <row r="150">
      <c r="A150" s="17" t="inlineStr">
        <is>
          <t>H149</t>
        </is>
      </c>
      <c r="B150" s="17" t="n">
        <v>5</v>
      </c>
      <c r="C150" s="18" t="n">
        <v>65017</v>
      </c>
      <c r="D150" s="19" t="n">
        <v>316</v>
      </c>
      <c r="E150" s="19" t="n">
        <v>164</v>
      </c>
      <c r="F150" s="20" t="n">
        <v>6</v>
      </c>
      <c r="G150" s="17" t="inlineStr">
        <is>
          <t>May</t>
        </is>
      </c>
      <c r="H150" s="17">
        <f>IF(C150&lt;40000,"Low",IF(C150&lt;=70000,"Middle","High"))</f>
        <v/>
      </c>
    </row>
    <row r="151">
      <c r="A151" t="inlineStr">
        <is>
          <t>H150</t>
        </is>
      </c>
      <c r="B151" t="n">
        <v>3</v>
      </c>
      <c r="C151" s="21" t="n">
        <v>86320</v>
      </c>
      <c r="D151" s="22" t="n">
        <v>400</v>
      </c>
      <c r="E151" s="22" t="n">
        <v>56</v>
      </c>
      <c r="F151" s="23" t="n">
        <v>9</v>
      </c>
      <c r="G151" t="inlineStr">
        <is>
          <t>Dec</t>
        </is>
      </c>
      <c r="H151">
        <f>IF(C151&lt;40000,"Low",IF(C151&lt;=70000,"Middle","High"))</f>
        <v/>
      </c>
    </row>
    <row r="152">
      <c r="A152" s="17" t="inlineStr">
        <is>
          <t>H151</t>
        </is>
      </c>
      <c r="B152" s="17" t="n">
        <v>4</v>
      </c>
      <c r="C152" s="18" t="n">
        <v>47751</v>
      </c>
      <c r="D152" s="19" t="n">
        <v>231</v>
      </c>
      <c r="E152" s="19" t="n">
        <v>52</v>
      </c>
      <c r="F152" s="20" t="n">
        <v>11</v>
      </c>
      <c r="G152" s="17" t="inlineStr">
        <is>
          <t>Oct</t>
        </is>
      </c>
      <c r="H152" s="17">
        <f>IF(C152&lt;40000,"Low",IF(C152&lt;=70000,"Middle","High"))</f>
        <v/>
      </c>
    </row>
    <row r="153">
      <c r="A153" t="inlineStr">
        <is>
          <t>H152</t>
        </is>
      </c>
      <c r="B153" t="n">
        <v>6</v>
      </c>
      <c r="C153" s="21" t="n">
        <v>98069</v>
      </c>
      <c r="D153" s="22" t="n">
        <v>391</v>
      </c>
      <c r="E153" s="22" t="n">
        <v>160</v>
      </c>
      <c r="F153" s="23" t="n">
        <v>2</v>
      </c>
      <c r="G153" t="inlineStr">
        <is>
          <t>Feb</t>
        </is>
      </c>
      <c r="H153">
        <f>IF(C153&lt;40000,"Low",IF(C153&lt;=70000,"Middle","High"))</f>
        <v/>
      </c>
    </row>
    <row r="154">
      <c r="A154" s="17" t="inlineStr">
        <is>
          <t>H153</t>
        </is>
      </c>
      <c r="B154" s="17" t="n">
        <v>3</v>
      </c>
      <c r="C154" s="18" t="n">
        <v>74748</v>
      </c>
      <c r="D154" s="19" t="n">
        <v>169</v>
      </c>
      <c r="E154" s="19" t="n">
        <v>200</v>
      </c>
      <c r="F154" s="20" t="n">
        <v>13</v>
      </c>
      <c r="G154" s="17" t="inlineStr">
        <is>
          <t>Dec</t>
        </is>
      </c>
      <c r="H154" s="17">
        <f>IF(C154&lt;40000,"Low",IF(C154&lt;=70000,"Middle","High"))</f>
        <v/>
      </c>
    </row>
    <row r="155">
      <c r="A155" t="inlineStr">
        <is>
          <t>H154</t>
        </is>
      </c>
      <c r="B155" t="n">
        <v>3</v>
      </c>
      <c r="C155" s="21" t="n">
        <v>25801</v>
      </c>
      <c r="D155" s="22" t="n">
        <v>351</v>
      </c>
      <c r="E155" s="22" t="n">
        <v>156</v>
      </c>
      <c r="F155" s="23" t="n">
        <v>11</v>
      </c>
      <c r="G155" t="inlineStr">
        <is>
          <t>Jun</t>
        </is>
      </c>
      <c r="H155">
        <f>IF(C155&lt;40000,"Low",IF(C155&lt;=70000,"Middle","High"))</f>
        <v/>
      </c>
    </row>
    <row r="156">
      <c r="A156" s="17" t="inlineStr">
        <is>
          <t>H155</t>
        </is>
      </c>
      <c r="B156" s="17" t="n">
        <v>1</v>
      </c>
      <c r="C156" s="18" t="n">
        <v>39190</v>
      </c>
      <c r="D156" s="19" t="n">
        <v>374</v>
      </c>
      <c r="E156" s="19" t="n">
        <v>67</v>
      </c>
      <c r="F156" s="20" t="n">
        <v>10</v>
      </c>
      <c r="G156" s="17" t="inlineStr">
        <is>
          <t>Nov</t>
        </is>
      </c>
      <c r="H156" s="17">
        <f>IF(C156&lt;40000,"Low",IF(C156&lt;=70000,"Middle","High"))</f>
        <v/>
      </c>
    </row>
    <row r="157">
      <c r="A157" t="inlineStr">
        <is>
          <t>H156</t>
        </is>
      </c>
      <c r="B157" t="n">
        <v>3</v>
      </c>
      <c r="C157" s="21" t="n">
        <v>69689</v>
      </c>
      <c r="D157" s="22" t="n">
        <v>463</v>
      </c>
      <c r="E157" s="22" t="n">
        <v>87</v>
      </c>
      <c r="F157" s="23" t="n">
        <v>7</v>
      </c>
      <c r="G157" t="inlineStr">
        <is>
          <t>Jan</t>
        </is>
      </c>
      <c r="H157">
        <f>IF(C157&lt;40000,"Low",IF(C157&lt;=70000,"Middle","High"))</f>
        <v/>
      </c>
    </row>
    <row r="158">
      <c r="A158" s="17" t="inlineStr">
        <is>
          <t>H157</t>
        </is>
      </c>
      <c r="B158" s="17" t="n">
        <v>5</v>
      </c>
      <c r="C158" s="18" t="n">
        <v>70993</v>
      </c>
      <c r="D158" s="19" t="n">
        <v>281</v>
      </c>
      <c r="E158" s="19" t="n">
        <v>164</v>
      </c>
      <c r="F158" s="20" t="n">
        <v>4</v>
      </c>
      <c r="G158" s="17" t="inlineStr">
        <is>
          <t>Mar</t>
        </is>
      </c>
      <c r="H158" s="17">
        <f>IF(C158&lt;40000,"Low",IF(C158&lt;=70000,"Middle","High"))</f>
        <v/>
      </c>
    </row>
    <row r="159">
      <c r="A159" t="inlineStr">
        <is>
          <t>H158</t>
        </is>
      </c>
      <c r="B159" t="n">
        <v>7</v>
      </c>
      <c r="C159" s="21" t="n">
        <v>49592</v>
      </c>
      <c r="D159" s="22" t="n">
        <v>266</v>
      </c>
      <c r="E159" s="22" t="n">
        <v>64</v>
      </c>
      <c r="F159" s="23" t="n">
        <v>14</v>
      </c>
      <c r="G159" t="inlineStr">
        <is>
          <t>May</t>
        </is>
      </c>
      <c r="H159">
        <f>IF(C159&lt;40000,"Low",IF(C159&lt;=70000,"Middle","High"))</f>
        <v/>
      </c>
    </row>
    <row r="160">
      <c r="A160" s="17" t="inlineStr">
        <is>
          <t>H159</t>
        </is>
      </c>
      <c r="B160" s="17" t="n">
        <v>6</v>
      </c>
      <c r="C160" s="18" t="n">
        <v>30647</v>
      </c>
      <c r="D160" s="19" t="n">
        <v>190</v>
      </c>
      <c r="E160" s="19" t="n">
        <v>168</v>
      </c>
      <c r="F160" s="20" t="n">
        <v>9</v>
      </c>
      <c r="G160" s="17" t="inlineStr">
        <is>
          <t>Apr</t>
        </is>
      </c>
      <c r="H160" s="17">
        <f>IF(C160&lt;40000,"Low",IF(C160&lt;=70000,"Middle","High"))</f>
        <v/>
      </c>
    </row>
    <row r="161">
      <c r="A161" t="inlineStr">
        <is>
          <t>H160</t>
        </is>
      </c>
      <c r="B161" t="n">
        <v>3</v>
      </c>
      <c r="C161" s="21" t="n">
        <v>28716</v>
      </c>
      <c r="D161" s="22" t="n">
        <v>301</v>
      </c>
      <c r="E161" s="22" t="n">
        <v>77</v>
      </c>
      <c r="F161" s="23" t="n">
        <v>10</v>
      </c>
      <c r="G161" t="inlineStr">
        <is>
          <t>Mar</t>
        </is>
      </c>
      <c r="H161">
        <f>IF(C161&lt;40000,"Low",IF(C161&lt;=70000,"Middle","High"))</f>
        <v/>
      </c>
    </row>
    <row r="162">
      <c r="A162" s="17" t="inlineStr">
        <is>
          <t>H161</t>
        </is>
      </c>
      <c r="B162" s="17" t="n">
        <v>1</v>
      </c>
      <c r="C162" s="18" t="n">
        <v>90316</v>
      </c>
      <c r="D162" s="19" t="n">
        <v>445</v>
      </c>
      <c r="E162" s="19" t="n">
        <v>88</v>
      </c>
      <c r="F162" s="20" t="n">
        <v>7</v>
      </c>
      <c r="G162" s="17" t="inlineStr">
        <is>
          <t>Oct</t>
        </is>
      </c>
      <c r="H162" s="17">
        <f>IF(C162&lt;40000,"Low",IF(C162&lt;=70000,"Middle","High"))</f>
        <v/>
      </c>
    </row>
    <row r="163">
      <c r="A163" t="inlineStr">
        <is>
          <t>H162</t>
        </is>
      </c>
      <c r="B163" t="n">
        <v>5</v>
      </c>
      <c r="C163" s="21" t="n">
        <v>22368</v>
      </c>
      <c r="D163" s="22" t="n">
        <v>118</v>
      </c>
      <c r="E163" s="22" t="n">
        <v>66</v>
      </c>
      <c r="F163" s="23" t="n">
        <v>12</v>
      </c>
      <c r="G163" t="inlineStr">
        <is>
          <t>May</t>
        </is>
      </c>
      <c r="H163">
        <f>IF(C163&lt;40000,"Low",IF(C163&lt;=70000,"Middle","High"))</f>
        <v/>
      </c>
    </row>
    <row r="164">
      <c r="A164" s="17" t="inlineStr">
        <is>
          <t>H163</t>
        </is>
      </c>
      <c r="B164" s="17" t="n">
        <v>2</v>
      </c>
      <c r="C164" s="18" t="n">
        <v>97575</v>
      </c>
      <c r="D164" s="19" t="n">
        <v>138</v>
      </c>
      <c r="E164" s="19" t="n">
        <v>135</v>
      </c>
      <c r="F164" s="20" t="n">
        <v>8</v>
      </c>
      <c r="G164" s="17" t="inlineStr">
        <is>
          <t>Nov</t>
        </is>
      </c>
      <c r="H164" s="17">
        <f>IF(C164&lt;40000,"Low",IF(C164&lt;=70000,"Middle","High"))</f>
        <v/>
      </c>
    </row>
    <row r="165">
      <c r="A165" t="inlineStr">
        <is>
          <t>H164</t>
        </is>
      </c>
      <c r="B165" t="n">
        <v>7</v>
      </c>
      <c r="C165" s="21" t="n">
        <v>26655</v>
      </c>
      <c r="D165" s="22" t="n">
        <v>225</v>
      </c>
      <c r="E165" s="22" t="n">
        <v>175</v>
      </c>
      <c r="F165" s="23" t="n">
        <v>2</v>
      </c>
      <c r="G165" t="inlineStr">
        <is>
          <t>Aug</t>
        </is>
      </c>
      <c r="H165">
        <f>IF(C165&lt;40000,"Low",IF(C165&lt;=70000,"Middle","High"))</f>
        <v/>
      </c>
    </row>
    <row r="166">
      <c r="A166" s="17" t="inlineStr">
        <is>
          <t>H165</t>
        </is>
      </c>
      <c r="B166" s="17" t="n">
        <v>7</v>
      </c>
      <c r="C166" s="18" t="n">
        <v>90031</v>
      </c>
      <c r="D166" s="19" t="n">
        <v>272</v>
      </c>
      <c r="E166" s="19" t="n">
        <v>93</v>
      </c>
      <c r="F166" s="20" t="n">
        <v>6</v>
      </c>
      <c r="G166" s="17" t="inlineStr">
        <is>
          <t>Nov</t>
        </is>
      </c>
      <c r="H166" s="17">
        <f>IF(C166&lt;40000,"Low",IF(C166&lt;=70000,"Middle","High"))</f>
        <v/>
      </c>
    </row>
    <row r="167">
      <c r="A167" t="inlineStr">
        <is>
          <t>H166</t>
        </is>
      </c>
      <c r="B167" t="n">
        <v>6</v>
      </c>
      <c r="C167" s="21" t="n">
        <v>96429</v>
      </c>
      <c r="D167" s="22" t="n">
        <v>240</v>
      </c>
      <c r="E167" s="22" t="n">
        <v>74</v>
      </c>
      <c r="F167" s="23" t="n">
        <v>6</v>
      </c>
      <c r="G167" t="inlineStr">
        <is>
          <t>Apr</t>
        </is>
      </c>
      <c r="H167">
        <f>IF(C167&lt;40000,"Low",IF(C167&lt;=70000,"Middle","High"))</f>
        <v/>
      </c>
    </row>
    <row r="168">
      <c r="A168" s="17" t="inlineStr">
        <is>
          <t>H167</t>
        </is>
      </c>
      <c r="B168" s="17" t="n">
        <v>7</v>
      </c>
      <c r="C168" s="18" t="n">
        <v>75766</v>
      </c>
      <c r="D168" s="19" t="n">
        <v>341</v>
      </c>
      <c r="E168" s="19" t="n">
        <v>194</v>
      </c>
      <c r="F168" s="20" t="n">
        <v>11</v>
      </c>
      <c r="G168" s="17" t="inlineStr">
        <is>
          <t>Jan</t>
        </is>
      </c>
      <c r="H168" s="17">
        <f>IF(C168&lt;40000,"Low",IF(C168&lt;=70000,"Middle","High"))</f>
        <v/>
      </c>
    </row>
    <row r="169">
      <c r="A169" t="inlineStr">
        <is>
          <t>H168</t>
        </is>
      </c>
      <c r="B169" t="n">
        <v>3</v>
      </c>
      <c r="C169" s="21" t="n">
        <v>33403</v>
      </c>
      <c r="D169" s="22" t="n">
        <v>319</v>
      </c>
      <c r="E169" s="22" t="n">
        <v>62</v>
      </c>
      <c r="F169" s="23" t="n">
        <v>5</v>
      </c>
      <c r="G169" t="inlineStr">
        <is>
          <t>Nov</t>
        </is>
      </c>
      <c r="H169">
        <f>IF(C169&lt;40000,"Low",IF(C169&lt;=70000,"Middle","High"))</f>
        <v/>
      </c>
    </row>
    <row r="170">
      <c r="A170" s="17" t="inlineStr">
        <is>
          <t>H169</t>
        </is>
      </c>
      <c r="B170" s="17" t="n">
        <v>1</v>
      </c>
      <c r="C170" s="18" t="n">
        <v>52097</v>
      </c>
      <c r="D170" s="19" t="n">
        <v>225</v>
      </c>
      <c r="E170" s="19" t="n">
        <v>74</v>
      </c>
      <c r="F170" s="20" t="n">
        <v>7</v>
      </c>
      <c r="G170" s="17" t="inlineStr">
        <is>
          <t>Jul</t>
        </is>
      </c>
      <c r="H170" s="17">
        <f>IF(C170&lt;40000,"Low",IF(C170&lt;=70000,"Middle","High"))</f>
        <v/>
      </c>
    </row>
    <row r="171">
      <c r="A171" t="inlineStr">
        <is>
          <t>H170</t>
        </is>
      </c>
      <c r="B171" t="n">
        <v>7</v>
      </c>
      <c r="C171" s="21" t="n">
        <v>98657</v>
      </c>
      <c r="D171" s="22" t="n">
        <v>157</v>
      </c>
      <c r="E171" s="22" t="n">
        <v>117</v>
      </c>
      <c r="F171" s="23" t="n">
        <v>8</v>
      </c>
      <c r="G171" t="inlineStr">
        <is>
          <t>Aug</t>
        </is>
      </c>
      <c r="H171">
        <f>IF(C171&lt;40000,"Low",IF(C171&lt;=70000,"Middle","High"))</f>
        <v/>
      </c>
    </row>
    <row r="172">
      <c r="A172" s="17" t="inlineStr">
        <is>
          <t>H171</t>
        </is>
      </c>
      <c r="B172" s="17" t="n">
        <v>7</v>
      </c>
      <c r="C172" s="18" t="n">
        <v>30966</v>
      </c>
      <c r="D172" s="19" t="n">
        <v>247</v>
      </c>
      <c r="E172" s="19" t="n">
        <v>187</v>
      </c>
      <c r="F172" s="20" t="n">
        <v>10</v>
      </c>
      <c r="G172" s="17" t="inlineStr">
        <is>
          <t>Mar</t>
        </is>
      </c>
      <c r="H172" s="17">
        <f>IF(C172&lt;40000,"Low",IF(C172&lt;=70000,"Middle","High"))</f>
        <v/>
      </c>
    </row>
    <row r="173">
      <c r="A173" t="inlineStr">
        <is>
          <t>H172</t>
        </is>
      </c>
      <c r="B173" t="n">
        <v>2</v>
      </c>
      <c r="C173" s="21" t="n">
        <v>72921</v>
      </c>
      <c r="D173" s="22" t="n">
        <v>416</v>
      </c>
      <c r="E173" s="22" t="n">
        <v>116</v>
      </c>
      <c r="F173" s="23" t="n">
        <v>2</v>
      </c>
      <c r="G173" t="inlineStr">
        <is>
          <t>Jun</t>
        </is>
      </c>
      <c r="H173">
        <f>IF(C173&lt;40000,"Low",IF(C173&lt;=70000,"Middle","High"))</f>
        <v/>
      </c>
    </row>
    <row r="174">
      <c r="A174" s="17" t="inlineStr">
        <is>
          <t>H173</t>
        </is>
      </c>
      <c r="B174" s="17" t="n">
        <v>2</v>
      </c>
      <c r="C174" s="18" t="n">
        <v>69726</v>
      </c>
      <c r="D174" s="19" t="n">
        <v>482</v>
      </c>
      <c r="E174" s="19" t="n">
        <v>158</v>
      </c>
      <c r="F174" s="20" t="n">
        <v>7</v>
      </c>
      <c r="G174" s="17" t="inlineStr">
        <is>
          <t>Feb</t>
        </is>
      </c>
      <c r="H174" s="17">
        <f>IF(C174&lt;40000,"Low",IF(C174&lt;=70000,"Middle","High"))</f>
        <v/>
      </c>
    </row>
    <row r="175">
      <c r="A175" t="inlineStr">
        <is>
          <t>H174</t>
        </is>
      </c>
      <c r="B175" t="n">
        <v>4</v>
      </c>
      <c r="C175" s="21" t="n">
        <v>70300</v>
      </c>
      <c r="D175" s="22" t="n">
        <v>460</v>
      </c>
      <c r="E175" s="22" t="n">
        <v>195</v>
      </c>
      <c r="F175" s="23" t="n">
        <v>8</v>
      </c>
      <c r="G175" t="inlineStr">
        <is>
          <t>Jul</t>
        </is>
      </c>
      <c r="H175">
        <f>IF(C175&lt;40000,"Low",IF(C175&lt;=70000,"Middle","High"))</f>
        <v/>
      </c>
    </row>
    <row r="176">
      <c r="A176" s="17" t="inlineStr">
        <is>
          <t>H175</t>
        </is>
      </c>
      <c r="B176" s="17" t="n">
        <v>5</v>
      </c>
      <c r="C176" s="18" t="n">
        <v>42677</v>
      </c>
      <c r="D176" s="19" t="n">
        <v>100</v>
      </c>
      <c r="E176" s="19" t="n">
        <v>160</v>
      </c>
      <c r="F176" s="20" t="n">
        <v>4</v>
      </c>
      <c r="G176" s="17" t="inlineStr">
        <is>
          <t>Aug</t>
        </is>
      </c>
      <c r="H176" s="17">
        <f>IF(C176&lt;40000,"Low",IF(C176&lt;=70000,"Middle","High"))</f>
        <v/>
      </c>
    </row>
    <row r="177">
      <c r="A177" t="inlineStr">
        <is>
          <t>H176</t>
        </is>
      </c>
      <c r="B177" t="n">
        <v>3</v>
      </c>
      <c r="C177" s="21" t="n">
        <v>75609</v>
      </c>
      <c r="D177" s="22" t="n">
        <v>486</v>
      </c>
      <c r="E177" s="22" t="n">
        <v>160</v>
      </c>
      <c r="F177" s="23" t="n">
        <v>9</v>
      </c>
      <c r="G177" t="inlineStr">
        <is>
          <t>Jun</t>
        </is>
      </c>
      <c r="H177">
        <f>IF(C177&lt;40000,"Low",IF(C177&lt;=70000,"Middle","High"))</f>
        <v/>
      </c>
    </row>
    <row r="178">
      <c r="A178" s="17" t="inlineStr">
        <is>
          <t>H177</t>
        </is>
      </c>
      <c r="B178" s="17" t="n">
        <v>7</v>
      </c>
      <c r="C178" s="18" t="n">
        <v>76661</v>
      </c>
      <c r="D178" s="19" t="n">
        <v>447</v>
      </c>
      <c r="E178" s="19" t="n">
        <v>83</v>
      </c>
      <c r="F178" s="20" t="n">
        <v>6</v>
      </c>
      <c r="G178" s="17" t="inlineStr">
        <is>
          <t>Jun</t>
        </is>
      </c>
      <c r="H178" s="17">
        <f>IF(C178&lt;40000,"Low",IF(C178&lt;=70000,"Middle","High"))</f>
        <v/>
      </c>
    </row>
    <row r="179">
      <c r="A179" t="inlineStr">
        <is>
          <t>H178</t>
        </is>
      </c>
      <c r="B179" t="n">
        <v>7</v>
      </c>
      <c r="C179" s="21" t="n">
        <v>51024</v>
      </c>
      <c r="D179" s="22" t="n">
        <v>289</v>
      </c>
      <c r="E179" s="22" t="n">
        <v>160</v>
      </c>
      <c r="F179" s="23" t="n">
        <v>10</v>
      </c>
      <c r="G179" t="inlineStr">
        <is>
          <t>May</t>
        </is>
      </c>
      <c r="H179">
        <f>IF(C179&lt;40000,"Low",IF(C179&lt;=70000,"Middle","High"))</f>
        <v/>
      </c>
    </row>
    <row r="180">
      <c r="A180" s="17" t="inlineStr">
        <is>
          <t>H179</t>
        </is>
      </c>
      <c r="B180" s="17" t="n">
        <v>1</v>
      </c>
      <c r="C180" s="18" t="n">
        <v>90313</v>
      </c>
      <c r="D180" s="19" t="n">
        <v>290</v>
      </c>
      <c r="E180" s="19" t="n">
        <v>57</v>
      </c>
      <c r="F180" s="20" t="n">
        <v>6</v>
      </c>
      <c r="G180" s="17" t="inlineStr">
        <is>
          <t>Aug</t>
        </is>
      </c>
      <c r="H180" s="17">
        <f>IF(C180&lt;40000,"Low",IF(C180&lt;=70000,"Middle","High"))</f>
        <v/>
      </c>
    </row>
    <row r="181">
      <c r="A181" t="inlineStr">
        <is>
          <t>H180</t>
        </is>
      </c>
      <c r="B181" t="n">
        <v>4</v>
      </c>
      <c r="C181" s="21" t="n">
        <v>73006</v>
      </c>
      <c r="D181" s="22" t="n">
        <v>468</v>
      </c>
      <c r="E181" s="22" t="n">
        <v>162</v>
      </c>
      <c r="F181" s="23" t="n">
        <v>10</v>
      </c>
      <c r="G181" t="inlineStr">
        <is>
          <t>Jan</t>
        </is>
      </c>
      <c r="H181">
        <f>IF(C181&lt;40000,"Low",IF(C181&lt;=70000,"Middle","High"))</f>
        <v/>
      </c>
    </row>
    <row r="182">
      <c r="A182" s="17" t="inlineStr">
        <is>
          <t>H181</t>
        </is>
      </c>
      <c r="B182" s="17" t="n">
        <v>5</v>
      </c>
      <c r="C182" s="18" t="n">
        <v>35338</v>
      </c>
      <c r="D182" s="19" t="n">
        <v>411</v>
      </c>
      <c r="E182" s="19" t="n">
        <v>132</v>
      </c>
      <c r="F182" s="20" t="n">
        <v>11</v>
      </c>
      <c r="G182" s="17" t="inlineStr">
        <is>
          <t>Oct</t>
        </is>
      </c>
      <c r="H182" s="17">
        <f>IF(C182&lt;40000,"Low",IF(C182&lt;=70000,"Middle","High"))</f>
        <v/>
      </c>
    </row>
    <row r="183">
      <c r="A183" t="inlineStr">
        <is>
          <t>H182</t>
        </is>
      </c>
      <c r="B183" t="n">
        <v>4</v>
      </c>
      <c r="C183" s="21" t="n">
        <v>88027</v>
      </c>
      <c r="D183" s="22" t="n">
        <v>216</v>
      </c>
      <c r="E183" s="22" t="n">
        <v>91</v>
      </c>
      <c r="F183" s="23" t="n">
        <v>5</v>
      </c>
      <c r="G183" t="inlineStr">
        <is>
          <t>Apr</t>
        </is>
      </c>
      <c r="H183">
        <f>IF(C183&lt;40000,"Low",IF(C183&lt;=70000,"Middle","High"))</f>
        <v/>
      </c>
    </row>
    <row r="184">
      <c r="A184" s="17" t="inlineStr">
        <is>
          <t>H183</t>
        </is>
      </c>
      <c r="B184" s="17" t="n">
        <v>6</v>
      </c>
      <c r="C184" s="18" t="n">
        <v>39508</v>
      </c>
      <c r="D184" s="19" t="n">
        <v>233</v>
      </c>
      <c r="E184" s="19" t="n">
        <v>150</v>
      </c>
      <c r="F184" s="20" t="n">
        <v>10</v>
      </c>
      <c r="G184" s="17" t="inlineStr">
        <is>
          <t>Apr</t>
        </is>
      </c>
      <c r="H184" s="17">
        <f>IF(C184&lt;40000,"Low",IF(C184&lt;=70000,"Middle","High"))</f>
        <v/>
      </c>
    </row>
    <row r="185">
      <c r="A185" t="inlineStr">
        <is>
          <t>H184</t>
        </is>
      </c>
      <c r="B185" t="n">
        <v>5</v>
      </c>
      <c r="C185" s="21" t="n">
        <v>23051</v>
      </c>
      <c r="D185" s="22" t="n">
        <v>157</v>
      </c>
      <c r="E185" s="22" t="n">
        <v>55</v>
      </c>
      <c r="F185" s="23" t="n">
        <v>6</v>
      </c>
      <c r="G185" t="inlineStr">
        <is>
          <t>Mar</t>
        </is>
      </c>
      <c r="H185">
        <f>IF(C185&lt;40000,"Low",IF(C185&lt;=70000,"Middle","High"))</f>
        <v/>
      </c>
    </row>
    <row r="186">
      <c r="A186" s="17" t="inlineStr">
        <is>
          <t>H185</t>
        </is>
      </c>
      <c r="B186" s="17" t="n">
        <v>7</v>
      </c>
      <c r="C186" s="18" t="n">
        <v>68747</v>
      </c>
      <c r="D186" s="19" t="n">
        <v>143</v>
      </c>
      <c r="E186" s="19" t="n">
        <v>75</v>
      </c>
      <c r="F186" s="20" t="n">
        <v>11</v>
      </c>
      <c r="G186" s="17" t="inlineStr">
        <is>
          <t>Mar</t>
        </is>
      </c>
      <c r="H186" s="17">
        <f>IF(C186&lt;40000,"Low",IF(C186&lt;=70000,"Middle","High"))</f>
        <v/>
      </c>
    </row>
    <row r="187">
      <c r="A187" t="inlineStr">
        <is>
          <t>H186</t>
        </is>
      </c>
      <c r="B187" t="n">
        <v>7</v>
      </c>
      <c r="C187" s="21" t="n">
        <v>74021</v>
      </c>
      <c r="D187" s="22" t="n">
        <v>272</v>
      </c>
      <c r="E187" s="22" t="n">
        <v>113</v>
      </c>
      <c r="F187" s="23" t="n">
        <v>10</v>
      </c>
      <c r="G187" t="inlineStr">
        <is>
          <t>Apr</t>
        </is>
      </c>
      <c r="H187">
        <f>IF(C187&lt;40000,"Low",IF(C187&lt;=70000,"Middle","High"))</f>
        <v/>
      </c>
    </row>
    <row r="188">
      <c r="A188" s="17" t="inlineStr">
        <is>
          <t>H187</t>
        </is>
      </c>
      <c r="B188" s="17" t="n">
        <v>5</v>
      </c>
      <c r="C188" s="18" t="n">
        <v>86412</v>
      </c>
      <c r="D188" s="19" t="n">
        <v>259</v>
      </c>
      <c r="E188" s="19" t="n">
        <v>108</v>
      </c>
      <c r="F188" s="20" t="n">
        <v>4</v>
      </c>
      <c r="G188" s="17" t="inlineStr">
        <is>
          <t>Nov</t>
        </is>
      </c>
      <c r="H188" s="17">
        <f>IF(C188&lt;40000,"Low",IF(C188&lt;=70000,"Middle","High"))</f>
        <v/>
      </c>
    </row>
    <row r="189">
      <c r="A189" t="inlineStr">
        <is>
          <t>H188</t>
        </is>
      </c>
      <c r="B189" t="n">
        <v>7</v>
      </c>
      <c r="C189" s="21" t="n">
        <v>78335</v>
      </c>
      <c r="D189" s="22" t="n">
        <v>272</v>
      </c>
      <c r="E189" s="22" t="n">
        <v>158</v>
      </c>
      <c r="F189" s="23" t="n">
        <v>5</v>
      </c>
      <c r="G189" t="inlineStr">
        <is>
          <t>Jan</t>
        </is>
      </c>
      <c r="H189">
        <f>IF(C189&lt;40000,"Low",IF(C189&lt;=70000,"Middle","High"))</f>
        <v/>
      </c>
    </row>
    <row r="190">
      <c r="A190" s="17" t="inlineStr">
        <is>
          <t>H189</t>
        </is>
      </c>
      <c r="B190" s="17" t="n">
        <v>3</v>
      </c>
      <c r="C190" s="18" t="n">
        <v>76179</v>
      </c>
      <c r="D190" s="19" t="n">
        <v>416</v>
      </c>
      <c r="E190" s="19" t="n">
        <v>170</v>
      </c>
      <c r="F190" s="20" t="n">
        <v>10</v>
      </c>
      <c r="G190" s="17" t="inlineStr">
        <is>
          <t>Nov</t>
        </is>
      </c>
      <c r="H190" s="17">
        <f>IF(C190&lt;40000,"Low",IF(C190&lt;=70000,"Middle","High"))</f>
        <v/>
      </c>
    </row>
    <row r="191">
      <c r="A191" t="inlineStr">
        <is>
          <t>H190</t>
        </is>
      </c>
      <c r="B191" t="n">
        <v>5</v>
      </c>
      <c r="C191" s="21" t="n">
        <v>52093</v>
      </c>
      <c r="D191" s="22" t="n">
        <v>402</v>
      </c>
      <c r="E191" s="22" t="n">
        <v>82</v>
      </c>
      <c r="F191" s="23" t="n">
        <v>11</v>
      </c>
      <c r="G191" t="inlineStr">
        <is>
          <t>Nov</t>
        </is>
      </c>
      <c r="H191">
        <f>IF(C191&lt;40000,"Low",IF(C191&lt;=70000,"Middle","High"))</f>
        <v/>
      </c>
    </row>
    <row r="192">
      <c r="A192" s="17" t="inlineStr">
        <is>
          <t>H191</t>
        </is>
      </c>
      <c r="B192" s="17" t="n">
        <v>4</v>
      </c>
      <c r="C192" s="18" t="n">
        <v>89678</v>
      </c>
      <c r="D192" s="19" t="n">
        <v>248</v>
      </c>
      <c r="E192" s="19" t="n">
        <v>199</v>
      </c>
      <c r="F192" s="20" t="n">
        <v>12</v>
      </c>
      <c r="G192" s="17" t="inlineStr">
        <is>
          <t>Feb</t>
        </is>
      </c>
      <c r="H192" s="17">
        <f>IF(C192&lt;40000,"Low",IF(C192&lt;=70000,"Middle","High"))</f>
        <v/>
      </c>
    </row>
    <row r="193">
      <c r="A193" t="inlineStr">
        <is>
          <t>H192</t>
        </is>
      </c>
      <c r="B193" t="n">
        <v>5</v>
      </c>
      <c r="C193" s="21" t="n">
        <v>59734</v>
      </c>
      <c r="D193" s="22" t="n">
        <v>179</v>
      </c>
      <c r="E193" s="22" t="n">
        <v>70</v>
      </c>
      <c r="F193" s="23" t="n">
        <v>7</v>
      </c>
      <c r="G193" t="inlineStr">
        <is>
          <t>Sep</t>
        </is>
      </c>
      <c r="H193">
        <f>IF(C193&lt;40000,"Low",IF(C193&lt;=70000,"Middle","High"))</f>
        <v/>
      </c>
    </row>
    <row r="194">
      <c r="A194" s="17" t="inlineStr">
        <is>
          <t>H193</t>
        </is>
      </c>
      <c r="B194" s="17" t="n">
        <v>7</v>
      </c>
      <c r="C194" s="18" t="n">
        <v>92615</v>
      </c>
      <c r="D194" s="19" t="n">
        <v>473</v>
      </c>
      <c r="E194" s="19" t="n">
        <v>119</v>
      </c>
      <c r="F194" s="20" t="n">
        <v>3</v>
      </c>
      <c r="G194" s="17" t="inlineStr">
        <is>
          <t>Oct</t>
        </is>
      </c>
      <c r="H194" s="17">
        <f>IF(C194&lt;40000,"Low",IF(C194&lt;=70000,"Middle","High"))</f>
        <v/>
      </c>
    </row>
    <row r="195">
      <c r="A195" t="inlineStr">
        <is>
          <t>H194</t>
        </is>
      </c>
      <c r="B195" t="n">
        <v>3</v>
      </c>
      <c r="C195" s="21" t="n">
        <v>93523</v>
      </c>
      <c r="D195" s="22" t="n">
        <v>312</v>
      </c>
      <c r="E195" s="22" t="n">
        <v>161</v>
      </c>
      <c r="F195" s="23" t="n">
        <v>8</v>
      </c>
      <c r="G195" t="inlineStr">
        <is>
          <t>Feb</t>
        </is>
      </c>
      <c r="H195">
        <f>IF(C195&lt;40000,"Low",IF(C195&lt;=70000,"Middle","High"))</f>
        <v/>
      </c>
    </row>
    <row r="196">
      <c r="A196" s="17" t="inlineStr">
        <is>
          <t>H195</t>
        </is>
      </c>
      <c r="B196" s="17" t="n">
        <v>3</v>
      </c>
      <c r="C196" s="18" t="n">
        <v>37019</v>
      </c>
      <c r="D196" s="19" t="n">
        <v>302</v>
      </c>
      <c r="E196" s="19" t="n">
        <v>53</v>
      </c>
      <c r="F196" s="20" t="n">
        <v>3</v>
      </c>
      <c r="G196" s="17" t="inlineStr">
        <is>
          <t>May</t>
        </is>
      </c>
      <c r="H196" s="17">
        <f>IF(C196&lt;40000,"Low",IF(C196&lt;=70000,"Middle","High"))</f>
        <v/>
      </c>
    </row>
    <row r="197">
      <c r="A197" t="inlineStr">
        <is>
          <t>H196</t>
        </is>
      </c>
      <c r="B197" t="n">
        <v>6</v>
      </c>
      <c r="C197" s="21" t="n">
        <v>93847</v>
      </c>
      <c r="D197" s="22" t="n">
        <v>351</v>
      </c>
      <c r="E197" s="22" t="n">
        <v>143</v>
      </c>
      <c r="F197" s="23" t="n">
        <v>12</v>
      </c>
      <c r="G197" t="inlineStr">
        <is>
          <t>Sep</t>
        </is>
      </c>
      <c r="H197">
        <f>IF(C197&lt;40000,"Low",IF(C197&lt;=70000,"Middle","High"))</f>
        <v/>
      </c>
    </row>
    <row r="198">
      <c r="A198" s="17" t="inlineStr">
        <is>
          <t>H197</t>
        </is>
      </c>
      <c r="B198" s="17" t="n">
        <v>4</v>
      </c>
      <c r="C198" s="18" t="n">
        <v>99634</v>
      </c>
      <c r="D198" s="19" t="n">
        <v>328</v>
      </c>
      <c r="E198" s="19" t="n">
        <v>124</v>
      </c>
      <c r="F198" s="20" t="n">
        <v>3</v>
      </c>
      <c r="G198" s="17" t="inlineStr">
        <is>
          <t>Sep</t>
        </is>
      </c>
      <c r="H198" s="17">
        <f>IF(C198&lt;40000,"Low",IF(C198&lt;=70000,"Middle","High"))</f>
        <v/>
      </c>
    </row>
    <row r="199">
      <c r="A199" t="inlineStr">
        <is>
          <t>H198</t>
        </is>
      </c>
      <c r="B199" t="n">
        <v>2</v>
      </c>
      <c r="C199" s="21" t="n">
        <v>48251</v>
      </c>
      <c r="D199" s="22" t="n">
        <v>263</v>
      </c>
      <c r="E199" s="22" t="n">
        <v>111</v>
      </c>
      <c r="F199" s="23" t="n">
        <v>12</v>
      </c>
      <c r="G199" t="inlineStr">
        <is>
          <t>Aug</t>
        </is>
      </c>
      <c r="H199">
        <f>IF(C199&lt;40000,"Low",IF(C199&lt;=70000,"Middle","High"))</f>
        <v/>
      </c>
    </row>
    <row r="200">
      <c r="A200" s="17" t="inlineStr">
        <is>
          <t>H199</t>
        </is>
      </c>
      <c r="B200" s="17" t="n">
        <v>2</v>
      </c>
      <c r="C200" s="18" t="n">
        <v>45945</v>
      </c>
      <c r="D200" s="19" t="n">
        <v>326</v>
      </c>
      <c r="E200" s="19" t="n">
        <v>143</v>
      </c>
      <c r="F200" s="20" t="n">
        <v>2</v>
      </c>
      <c r="G200" s="17" t="inlineStr">
        <is>
          <t>Jan</t>
        </is>
      </c>
      <c r="H200" s="17">
        <f>IF(C200&lt;40000,"Low",IF(C200&lt;=70000,"Middle","High"))</f>
        <v/>
      </c>
    </row>
    <row r="201">
      <c r="A201" t="inlineStr">
        <is>
          <t>H200</t>
        </is>
      </c>
      <c r="B201" t="n">
        <v>5</v>
      </c>
      <c r="C201" s="21" t="n">
        <v>52217</v>
      </c>
      <c r="D201" s="22" t="n">
        <v>246</v>
      </c>
      <c r="E201" s="22" t="n">
        <v>144</v>
      </c>
      <c r="F201" s="23" t="n">
        <v>12</v>
      </c>
      <c r="G201" t="inlineStr">
        <is>
          <t>Jan</t>
        </is>
      </c>
      <c r="H201">
        <f>IF(C201&lt;40000,"Low",IF(C201&lt;=70000,"Middle","High"))</f>
        <v/>
      </c>
    </row>
    <row r="202">
      <c r="A202" s="17" t="inlineStr">
        <is>
          <t>H201</t>
        </is>
      </c>
      <c r="B202" s="17" t="n">
        <v>6</v>
      </c>
      <c r="C202" s="18" t="n">
        <v>28308</v>
      </c>
      <c r="D202" s="19" t="n">
        <v>119</v>
      </c>
      <c r="E202" s="19" t="n">
        <v>104</v>
      </c>
      <c r="F202" s="20" t="n">
        <v>12</v>
      </c>
      <c r="G202" s="17" t="inlineStr">
        <is>
          <t>Sep</t>
        </is>
      </c>
      <c r="H202" s="17">
        <f>IF(C202&lt;40000,"Low",IF(C202&lt;=70000,"Middle","High"))</f>
        <v/>
      </c>
    </row>
    <row r="203">
      <c r="A203" t="inlineStr">
        <is>
          <t>H202</t>
        </is>
      </c>
      <c r="B203" t="n">
        <v>1</v>
      </c>
      <c r="C203" s="21" t="n">
        <v>25949</v>
      </c>
      <c r="D203" s="22" t="n">
        <v>146</v>
      </c>
      <c r="E203" s="22" t="n">
        <v>186</v>
      </c>
      <c r="F203" s="23" t="n">
        <v>13</v>
      </c>
      <c r="G203" t="inlineStr">
        <is>
          <t>Nov</t>
        </is>
      </c>
      <c r="H203">
        <f>IF(C203&lt;40000,"Low",IF(C203&lt;=70000,"Middle","High"))</f>
        <v/>
      </c>
    </row>
    <row r="204">
      <c r="A204" s="17" t="inlineStr">
        <is>
          <t>H203</t>
        </is>
      </c>
      <c r="B204" s="17" t="n">
        <v>5</v>
      </c>
      <c r="C204" s="18" t="n">
        <v>71990</v>
      </c>
      <c r="D204" s="19" t="n">
        <v>332</v>
      </c>
      <c r="E204" s="19" t="n">
        <v>180</v>
      </c>
      <c r="F204" s="20" t="n">
        <v>12</v>
      </c>
      <c r="G204" s="17" t="inlineStr">
        <is>
          <t>Aug</t>
        </is>
      </c>
      <c r="H204" s="17">
        <f>IF(C204&lt;40000,"Low",IF(C204&lt;=70000,"Middle","High"))</f>
        <v/>
      </c>
    </row>
    <row r="205">
      <c r="A205" t="inlineStr">
        <is>
          <t>H204</t>
        </is>
      </c>
      <c r="B205" t="n">
        <v>6</v>
      </c>
      <c r="C205" s="21" t="n">
        <v>21150</v>
      </c>
      <c r="D205" s="22" t="n">
        <v>404</v>
      </c>
      <c r="E205" s="22" t="n">
        <v>80</v>
      </c>
      <c r="F205" s="23" t="n">
        <v>4</v>
      </c>
      <c r="G205" t="inlineStr">
        <is>
          <t>Oct</t>
        </is>
      </c>
      <c r="H205">
        <f>IF(C205&lt;40000,"Low",IF(C205&lt;=70000,"Middle","High"))</f>
        <v/>
      </c>
    </row>
    <row r="206">
      <c r="A206" s="17" t="inlineStr">
        <is>
          <t>H205</t>
        </is>
      </c>
      <c r="B206" s="17" t="n">
        <v>4</v>
      </c>
      <c r="C206" s="18" t="n">
        <v>94740</v>
      </c>
      <c r="D206" s="19" t="n">
        <v>113</v>
      </c>
      <c r="E206" s="19" t="n">
        <v>89</v>
      </c>
      <c r="F206" s="20" t="n">
        <v>7</v>
      </c>
      <c r="G206" s="17" t="inlineStr">
        <is>
          <t>Sep</t>
        </is>
      </c>
      <c r="H206" s="17">
        <f>IF(C206&lt;40000,"Low",IF(C206&lt;=70000,"Middle","High"))</f>
        <v/>
      </c>
    </row>
    <row r="207">
      <c r="A207" t="inlineStr">
        <is>
          <t>H206</t>
        </is>
      </c>
      <c r="B207" t="n">
        <v>4</v>
      </c>
      <c r="C207" s="21" t="n">
        <v>86617</v>
      </c>
      <c r="D207" s="22" t="n">
        <v>242</v>
      </c>
      <c r="E207" s="22" t="n">
        <v>85</v>
      </c>
      <c r="F207" s="23" t="n">
        <v>9</v>
      </c>
      <c r="G207" t="inlineStr">
        <is>
          <t>Jul</t>
        </is>
      </c>
      <c r="H207">
        <f>IF(C207&lt;40000,"Low",IF(C207&lt;=70000,"Middle","High"))</f>
        <v/>
      </c>
    </row>
    <row r="208">
      <c r="A208" s="17" t="inlineStr">
        <is>
          <t>H207</t>
        </is>
      </c>
      <c r="B208" s="17" t="n">
        <v>4</v>
      </c>
      <c r="C208" s="18" t="n">
        <v>36896</v>
      </c>
      <c r="D208" s="19" t="n">
        <v>100</v>
      </c>
      <c r="E208" s="19" t="n">
        <v>55</v>
      </c>
      <c r="F208" s="20" t="n">
        <v>10</v>
      </c>
      <c r="G208" s="17" t="inlineStr">
        <is>
          <t>Mar</t>
        </is>
      </c>
      <c r="H208" s="17">
        <f>IF(C208&lt;40000,"Low",IF(C208&lt;=70000,"Middle","High"))</f>
        <v/>
      </c>
    </row>
    <row r="209">
      <c r="A209" t="inlineStr">
        <is>
          <t>H208</t>
        </is>
      </c>
      <c r="B209" t="n">
        <v>4</v>
      </c>
      <c r="C209" s="21" t="n">
        <v>66175</v>
      </c>
      <c r="D209" s="22" t="n">
        <v>472</v>
      </c>
      <c r="E209" s="22" t="n">
        <v>115</v>
      </c>
      <c r="F209" s="23" t="n">
        <v>8</v>
      </c>
      <c r="G209" t="inlineStr">
        <is>
          <t>Mar</t>
        </is>
      </c>
      <c r="H209">
        <f>IF(C209&lt;40000,"Low",IF(C209&lt;=70000,"Middle","High"))</f>
        <v/>
      </c>
    </row>
    <row r="210">
      <c r="A210" s="17" t="inlineStr">
        <is>
          <t>H209</t>
        </is>
      </c>
      <c r="B210" s="17" t="n">
        <v>4</v>
      </c>
      <c r="C210" s="18" t="n">
        <v>27805</v>
      </c>
      <c r="D210" s="19" t="n">
        <v>153</v>
      </c>
      <c r="E210" s="19" t="n">
        <v>124</v>
      </c>
      <c r="F210" s="20" t="n">
        <v>5</v>
      </c>
      <c r="G210" s="17" t="inlineStr">
        <is>
          <t>Feb</t>
        </is>
      </c>
      <c r="H210" s="17">
        <f>IF(C210&lt;40000,"Low",IF(C210&lt;=70000,"Middle","High"))</f>
        <v/>
      </c>
    </row>
    <row r="211">
      <c r="A211" t="inlineStr">
        <is>
          <t>H210</t>
        </is>
      </c>
      <c r="B211" t="n">
        <v>6</v>
      </c>
      <c r="C211" s="21" t="n">
        <v>25237</v>
      </c>
      <c r="D211" s="22" t="n">
        <v>473</v>
      </c>
      <c r="E211" s="22" t="n">
        <v>53</v>
      </c>
      <c r="F211" s="23" t="n">
        <v>7</v>
      </c>
      <c r="G211" t="inlineStr">
        <is>
          <t>May</t>
        </is>
      </c>
      <c r="H211">
        <f>IF(C211&lt;40000,"Low",IF(C211&lt;=70000,"Middle","High"))</f>
        <v/>
      </c>
    </row>
    <row r="212">
      <c r="A212" s="17" t="inlineStr">
        <is>
          <t>H211</t>
        </is>
      </c>
      <c r="B212" s="17" t="n">
        <v>6</v>
      </c>
      <c r="C212" s="18" t="n">
        <v>40056</v>
      </c>
      <c r="D212" s="19" t="n">
        <v>358</v>
      </c>
      <c r="E212" s="19" t="n">
        <v>128</v>
      </c>
      <c r="F212" s="20" t="n">
        <v>6</v>
      </c>
      <c r="G212" s="17" t="inlineStr">
        <is>
          <t>Dec</t>
        </is>
      </c>
      <c r="H212" s="17">
        <f>IF(C212&lt;40000,"Low",IF(C212&lt;=70000,"Middle","High"))</f>
        <v/>
      </c>
    </row>
    <row r="213">
      <c r="A213" t="inlineStr">
        <is>
          <t>H212</t>
        </is>
      </c>
      <c r="B213" t="n">
        <v>3</v>
      </c>
      <c r="C213" s="21" t="n">
        <v>65543</v>
      </c>
      <c r="D213" s="22" t="n">
        <v>243</v>
      </c>
      <c r="E213" s="22" t="n">
        <v>183</v>
      </c>
      <c r="F213" s="23" t="n">
        <v>9</v>
      </c>
      <c r="G213" t="inlineStr">
        <is>
          <t>Dec</t>
        </is>
      </c>
      <c r="H213">
        <f>IF(C213&lt;40000,"Low",IF(C213&lt;=70000,"Middle","High"))</f>
        <v/>
      </c>
    </row>
    <row r="214">
      <c r="A214" s="17" t="inlineStr">
        <is>
          <t>H213</t>
        </is>
      </c>
      <c r="B214" s="17" t="n">
        <v>2</v>
      </c>
      <c r="C214" s="18" t="n">
        <v>76556</v>
      </c>
      <c r="D214" s="19" t="n">
        <v>111</v>
      </c>
      <c r="E214" s="19" t="n">
        <v>167</v>
      </c>
      <c r="F214" s="20" t="n">
        <v>2</v>
      </c>
      <c r="G214" s="17" t="inlineStr">
        <is>
          <t>Mar</t>
        </is>
      </c>
      <c r="H214" s="17">
        <f>IF(C214&lt;40000,"Low",IF(C214&lt;=70000,"Middle","High"))</f>
        <v/>
      </c>
    </row>
    <row r="215">
      <c r="A215" t="inlineStr">
        <is>
          <t>H214</t>
        </is>
      </c>
      <c r="B215" t="n">
        <v>7</v>
      </c>
      <c r="C215" s="21" t="n">
        <v>23343</v>
      </c>
      <c r="D215" s="22" t="n">
        <v>429</v>
      </c>
      <c r="E215" s="22" t="n">
        <v>162</v>
      </c>
      <c r="F215" s="23" t="n">
        <v>2</v>
      </c>
      <c r="G215" t="inlineStr">
        <is>
          <t>Jun</t>
        </is>
      </c>
      <c r="H215">
        <f>IF(C215&lt;40000,"Low",IF(C215&lt;=70000,"Middle","High"))</f>
        <v/>
      </c>
    </row>
    <row r="216">
      <c r="A216" s="17" t="inlineStr">
        <is>
          <t>H215</t>
        </is>
      </c>
      <c r="B216" s="17" t="n">
        <v>4</v>
      </c>
      <c r="C216" s="18" t="n">
        <v>33500</v>
      </c>
      <c r="D216" s="19" t="n">
        <v>323</v>
      </c>
      <c r="E216" s="19" t="n">
        <v>143</v>
      </c>
      <c r="F216" s="20" t="n">
        <v>14</v>
      </c>
      <c r="G216" s="17" t="inlineStr">
        <is>
          <t>Feb</t>
        </is>
      </c>
      <c r="H216" s="17">
        <f>IF(C216&lt;40000,"Low",IF(C216&lt;=70000,"Middle","High"))</f>
        <v/>
      </c>
    </row>
    <row r="217">
      <c r="A217" t="inlineStr">
        <is>
          <t>H216</t>
        </is>
      </c>
      <c r="B217" t="n">
        <v>1</v>
      </c>
      <c r="C217" s="21" t="n">
        <v>73222</v>
      </c>
      <c r="D217" s="22" t="n">
        <v>371</v>
      </c>
      <c r="E217" s="22" t="n">
        <v>111</v>
      </c>
      <c r="F217" s="23" t="n">
        <v>12</v>
      </c>
      <c r="G217" t="inlineStr">
        <is>
          <t>Dec</t>
        </is>
      </c>
      <c r="H217">
        <f>IF(C217&lt;40000,"Low",IF(C217&lt;=70000,"Middle","High"))</f>
        <v/>
      </c>
    </row>
    <row r="218">
      <c r="A218" s="17" t="inlineStr">
        <is>
          <t>H217</t>
        </is>
      </c>
      <c r="B218" s="17" t="n">
        <v>7</v>
      </c>
      <c r="C218" s="18" t="n">
        <v>49375</v>
      </c>
      <c r="D218" s="19" t="n">
        <v>457</v>
      </c>
      <c r="E218" s="19" t="n">
        <v>128</v>
      </c>
      <c r="F218" s="20" t="n">
        <v>7</v>
      </c>
      <c r="G218" s="17" t="inlineStr">
        <is>
          <t>Mar</t>
        </is>
      </c>
      <c r="H218" s="17">
        <f>IF(C218&lt;40000,"Low",IF(C218&lt;=70000,"Middle","High"))</f>
        <v/>
      </c>
    </row>
    <row r="219">
      <c r="A219" t="inlineStr">
        <is>
          <t>H218</t>
        </is>
      </c>
      <c r="B219" t="n">
        <v>6</v>
      </c>
      <c r="C219" s="21" t="n">
        <v>29662</v>
      </c>
      <c r="D219" s="22" t="n">
        <v>255</v>
      </c>
      <c r="E219" s="22" t="n">
        <v>185</v>
      </c>
      <c r="F219" s="23" t="n">
        <v>11</v>
      </c>
      <c r="G219" t="inlineStr">
        <is>
          <t>May</t>
        </is>
      </c>
      <c r="H219">
        <f>IF(C219&lt;40000,"Low",IF(C219&lt;=70000,"Middle","High"))</f>
        <v/>
      </c>
    </row>
    <row r="220">
      <c r="A220" s="17" t="inlineStr">
        <is>
          <t>H219</t>
        </is>
      </c>
      <c r="B220" s="17" t="n">
        <v>1</v>
      </c>
      <c r="C220" s="18" t="n">
        <v>36964</v>
      </c>
      <c r="D220" s="19" t="n">
        <v>472</v>
      </c>
      <c r="E220" s="19" t="n">
        <v>75</v>
      </c>
      <c r="F220" s="20" t="n">
        <v>13</v>
      </c>
      <c r="G220" s="17" t="inlineStr">
        <is>
          <t>Dec</t>
        </is>
      </c>
      <c r="H220" s="17">
        <f>IF(C220&lt;40000,"Low",IF(C220&lt;=70000,"Middle","High"))</f>
        <v/>
      </c>
    </row>
    <row r="221">
      <c r="A221" t="inlineStr">
        <is>
          <t>H220</t>
        </is>
      </c>
      <c r="B221" t="n">
        <v>1</v>
      </c>
      <c r="C221" s="21" t="n">
        <v>79638</v>
      </c>
      <c r="D221" s="22" t="n">
        <v>107</v>
      </c>
      <c r="E221" s="22" t="n">
        <v>93</v>
      </c>
      <c r="F221" s="23" t="n">
        <v>3</v>
      </c>
      <c r="G221" t="inlineStr">
        <is>
          <t>Nov</t>
        </is>
      </c>
      <c r="H221">
        <f>IF(C221&lt;40000,"Low",IF(C221&lt;=70000,"Middle","High"))</f>
        <v/>
      </c>
    </row>
    <row r="222">
      <c r="A222" s="17" t="inlineStr">
        <is>
          <t>H221</t>
        </is>
      </c>
      <c r="B222" s="17" t="n">
        <v>1</v>
      </c>
      <c r="C222" s="18" t="n">
        <v>93666</v>
      </c>
      <c r="D222" s="19" t="n">
        <v>221</v>
      </c>
      <c r="E222" s="19" t="n">
        <v>182</v>
      </c>
      <c r="F222" s="20" t="n">
        <v>6</v>
      </c>
      <c r="G222" s="17" t="inlineStr">
        <is>
          <t>Nov</t>
        </is>
      </c>
      <c r="H222" s="17">
        <f>IF(C222&lt;40000,"Low",IF(C222&lt;=70000,"Middle","High"))</f>
        <v/>
      </c>
    </row>
    <row r="223">
      <c r="A223" t="inlineStr">
        <is>
          <t>H222</t>
        </is>
      </c>
      <c r="B223" t="n">
        <v>3</v>
      </c>
      <c r="C223" s="21" t="n">
        <v>87215</v>
      </c>
      <c r="D223" s="22" t="n">
        <v>447</v>
      </c>
      <c r="E223" s="22" t="n">
        <v>119</v>
      </c>
      <c r="F223" s="23" t="n">
        <v>2</v>
      </c>
      <c r="G223" t="inlineStr">
        <is>
          <t>Jan</t>
        </is>
      </c>
      <c r="H223">
        <f>IF(C223&lt;40000,"Low",IF(C223&lt;=70000,"Middle","High"))</f>
        <v/>
      </c>
    </row>
    <row r="224">
      <c r="A224" s="17" t="inlineStr">
        <is>
          <t>H223</t>
        </is>
      </c>
      <c r="B224" s="17" t="n">
        <v>6</v>
      </c>
      <c r="C224" s="18" t="n">
        <v>89042</v>
      </c>
      <c r="D224" s="19" t="n">
        <v>263</v>
      </c>
      <c r="E224" s="19" t="n">
        <v>167</v>
      </c>
      <c r="F224" s="20" t="n">
        <v>8</v>
      </c>
      <c r="G224" s="17" t="inlineStr">
        <is>
          <t>Jan</t>
        </is>
      </c>
      <c r="H224" s="17">
        <f>IF(C224&lt;40000,"Low",IF(C224&lt;=70000,"Middle","High"))</f>
        <v/>
      </c>
    </row>
    <row r="225">
      <c r="A225" t="inlineStr">
        <is>
          <t>H224</t>
        </is>
      </c>
      <c r="B225" t="n">
        <v>1</v>
      </c>
      <c r="C225" s="21" t="n">
        <v>33284</v>
      </c>
      <c r="D225" s="22" t="n">
        <v>189</v>
      </c>
      <c r="E225" s="22" t="n">
        <v>117</v>
      </c>
      <c r="F225" s="23" t="n">
        <v>2</v>
      </c>
      <c r="G225" t="inlineStr">
        <is>
          <t>Oct</t>
        </is>
      </c>
      <c r="H225">
        <f>IF(C225&lt;40000,"Low",IF(C225&lt;=70000,"Middle","High"))</f>
        <v/>
      </c>
    </row>
    <row r="226">
      <c r="A226" s="17" t="inlineStr">
        <is>
          <t>H225</t>
        </is>
      </c>
      <c r="B226" s="17" t="n">
        <v>4</v>
      </c>
      <c r="C226" s="18" t="n">
        <v>92789</v>
      </c>
      <c r="D226" s="19" t="n">
        <v>235</v>
      </c>
      <c r="E226" s="19" t="n">
        <v>68</v>
      </c>
      <c r="F226" s="20" t="n">
        <v>5</v>
      </c>
      <c r="G226" s="17" t="inlineStr">
        <is>
          <t>Sep</t>
        </is>
      </c>
      <c r="H226" s="17">
        <f>IF(C226&lt;40000,"Low",IF(C226&lt;=70000,"Middle","High"))</f>
        <v/>
      </c>
    </row>
    <row r="227">
      <c r="A227" t="inlineStr">
        <is>
          <t>H226</t>
        </is>
      </c>
      <c r="B227" t="n">
        <v>5</v>
      </c>
      <c r="C227" s="21" t="n">
        <v>81389</v>
      </c>
      <c r="D227" s="22" t="n">
        <v>285</v>
      </c>
      <c r="E227" s="22" t="n">
        <v>69</v>
      </c>
      <c r="F227" s="23" t="n">
        <v>10</v>
      </c>
      <c r="G227" t="inlineStr">
        <is>
          <t>Jul</t>
        </is>
      </c>
      <c r="H227">
        <f>IF(C227&lt;40000,"Low",IF(C227&lt;=70000,"Middle","High"))</f>
        <v/>
      </c>
    </row>
    <row r="228">
      <c r="A228" s="17" t="inlineStr">
        <is>
          <t>H227</t>
        </is>
      </c>
      <c r="B228" s="17" t="n">
        <v>1</v>
      </c>
      <c r="C228" s="18" t="n">
        <v>29435</v>
      </c>
      <c r="D228" s="19" t="n">
        <v>415</v>
      </c>
      <c r="E228" s="19" t="n">
        <v>162</v>
      </c>
      <c r="F228" s="20" t="n">
        <v>2</v>
      </c>
      <c r="G228" s="17" t="inlineStr">
        <is>
          <t>Jan</t>
        </is>
      </c>
      <c r="H228" s="17">
        <f>IF(C228&lt;40000,"Low",IF(C228&lt;=70000,"Middle","High"))</f>
        <v/>
      </c>
    </row>
    <row r="229">
      <c r="A229" t="inlineStr">
        <is>
          <t>H228</t>
        </is>
      </c>
      <c r="B229" t="n">
        <v>3</v>
      </c>
      <c r="C229" s="21" t="n">
        <v>74340</v>
      </c>
      <c r="D229" s="22" t="n">
        <v>277</v>
      </c>
      <c r="E229" s="22" t="n">
        <v>189</v>
      </c>
      <c r="F229" s="23" t="n">
        <v>5</v>
      </c>
      <c r="G229" t="inlineStr">
        <is>
          <t>Dec</t>
        </is>
      </c>
      <c r="H229">
        <f>IF(C229&lt;40000,"Low",IF(C229&lt;=70000,"Middle","High"))</f>
        <v/>
      </c>
    </row>
    <row r="230">
      <c r="A230" s="17" t="inlineStr">
        <is>
          <t>H229</t>
        </is>
      </c>
      <c r="B230" s="17" t="n">
        <v>7</v>
      </c>
      <c r="C230" s="18" t="n">
        <v>64078</v>
      </c>
      <c r="D230" s="19" t="n">
        <v>127</v>
      </c>
      <c r="E230" s="19" t="n">
        <v>96</v>
      </c>
      <c r="F230" s="20" t="n">
        <v>7</v>
      </c>
      <c r="G230" s="17" t="inlineStr">
        <is>
          <t>Aug</t>
        </is>
      </c>
      <c r="H230" s="17">
        <f>IF(C230&lt;40000,"Low",IF(C230&lt;=70000,"Middle","High"))</f>
        <v/>
      </c>
    </row>
    <row r="231">
      <c r="A231" t="inlineStr">
        <is>
          <t>H230</t>
        </is>
      </c>
      <c r="B231" t="n">
        <v>6</v>
      </c>
      <c r="C231" s="21" t="n">
        <v>98832</v>
      </c>
      <c r="D231" s="22" t="n">
        <v>319</v>
      </c>
      <c r="E231" s="22" t="n">
        <v>50</v>
      </c>
      <c r="F231" s="23" t="n">
        <v>7</v>
      </c>
      <c r="G231" t="inlineStr">
        <is>
          <t>Mar</t>
        </is>
      </c>
      <c r="H231">
        <f>IF(C231&lt;40000,"Low",IF(C231&lt;=70000,"Middle","High"))</f>
        <v/>
      </c>
    </row>
    <row r="232">
      <c r="A232" s="17" t="inlineStr">
        <is>
          <t>H231</t>
        </is>
      </c>
      <c r="B232" s="17" t="n">
        <v>3</v>
      </c>
      <c r="C232" s="18" t="n">
        <v>71293</v>
      </c>
      <c r="D232" s="19" t="n">
        <v>456</v>
      </c>
      <c r="E232" s="19" t="n">
        <v>139</v>
      </c>
      <c r="F232" s="20" t="n">
        <v>13</v>
      </c>
      <c r="G232" s="17" t="inlineStr">
        <is>
          <t>Aug</t>
        </is>
      </c>
      <c r="H232" s="17">
        <f>IF(C232&lt;40000,"Low",IF(C232&lt;=70000,"Middle","High"))</f>
        <v/>
      </c>
    </row>
    <row r="233">
      <c r="A233" t="inlineStr">
        <is>
          <t>H232</t>
        </is>
      </c>
      <c r="B233" t="n">
        <v>1</v>
      </c>
      <c r="C233" s="21" t="n">
        <v>98781</v>
      </c>
      <c r="D233" s="22" t="n">
        <v>140</v>
      </c>
      <c r="E233" s="22" t="n">
        <v>191</v>
      </c>
      <c r="F233" s="23" t="n">
        <v>14</v>
      </c>
      <c r="G233" t="inlineStr">
        <is>
          <t>May</t>
        </is>
      </c>
      <c r="H233">
        <f>IF(C233&lt;40000,"Low",IF(C233&lt;=70000,"Middle","High"))</f>
        <v/>
      </c>
    </row>
    <row r="234">
      <c r="A234" s="17" t="inlineStr">
        <is>
          <t>H233</t>
        </is>
      </c>
      <c r="B234" s="17" t="n">
        <v>6</v>
      </c>
      <c r="C234" s="18" t="n">
        <v>80403</v>
      </c>
      <c r="D234" s="19" t="n">
        <v>327</v>
      </c>
      <c r="E234" s="19" t="n">
        <v>113</v>
      </c>
      <c r="F234" s="20" t="n">
        <v>9</v>
      </c>
      <c r="G234" s="17" t="inlineStr">
        <is>
          <t>Jan</t>
        </is>
      </c>
      <c r="H234" s="17">
        <f>IF(C234&lt;40000,"Low",IF(C234&lt;=70000,"Middle","High"))</f>
        <v/>
      </c>
    </row>
    <row r="235">
      <c r="A235" t="inlineStr">
        <is>
          <t>H234</t>
        </is>
      </c>
      <c r="B235" t="n">
        <v>5</v>
      </c>
      <c r="C235" s="21" t="n">
        <v>49124</v>
      </c>
      <c r="D235" s="22" t="n">
        <v>291</v>
      </c>
      <c r="E235" s="22" t="n">
        <v>87</v>
      </c>
      <c r="F235" s="23" t="n">
        <v>2</v>
      </c>
      <c r="G235" t="inlineStr">
        <is>
          <t>Jul</t>
        </is>
      </c>
      <c r="H235">
        <f>IF(C235&lt;40000,"Low",IF(C235&lt;=70000,"Middle","High"))</f>
        <v/>
      </c>
    </row>
    <row r="236">
      <c r="A236" s="17" t="inlineStr">
        <is>
          <t>H235</t>
        </is>
      </c>
      <c r="B236" s="17" t="n">
        <v>1</v>
      </c>
      <c r="C236" s="18" t="n">
        <v>63919</v>
      </c>
      <c r="D236" s="19" t="n">
        <v>244</v>
      </c>
      <c r="E236" s="19" t="n">
        <v>86</v>
      </c>
      <c r="F236" s="20" t="n">
        <v>8</v>
      </c>
      <c r="G236" s="17" t="inlineStr">
        <is>
          <t>May</t>
        </is>
      </c>
      <c r="H236" s="17">
        <f>IF(C236&lt;40000,"Low",IF(C236&lt;=70000,"Middle","High"))</f>
        <v/>
      </c>
    </row>
    <row r="237">
      <c r="A237" t="inlineStr">
        <is>
          <t>H236</t>
        </is>
      </c>
      <c r="B237" t="n">
        <v>3</v>
      </c>
      <c r="C237" s="21" t="n">
        <v>55247</v>
      </c>
      <c r="D237" s="22" t="n">
        <v>300</v>
      </c>
      <c r="E237" s="22" t="n">
        <v>175</v>
      </c>
      <c r="F237" s="23" t="n">
        <v>2</v>
      </c>
      <c r="G237" t="inlineStr">
        <is>
          <t>Jun</t>
        </is>
      </c>
      <c r="H237">
        <f>IF(C237&lt;40000,"Low",IF(C237&lt;=70000,"Middle","High"))</f>
        <v/>
      </c>
    </row>
    <row r="238">
      <c r="A238" s="17" t="inlineStr">
        <is>
          <t>H237</t>
        </is>
      </c>
      <c r="B238" s="17" t="n">
        <v>2</v>
      </c>
      <c r="C238" s="18" t="n">
        <v>82752</v>
      </c>
      <c r="D238" s="19" t="n">
        <v>311</v>
      </c>
      <c r="E238" s="19" t="n">
        <v>188</v>
      </c>
      <c r="F238" s="20" t="n">
        <v>14</v>
      </c>
      <c r="G238" s="17" t="inlineStr">
        <is>
          <t>Jun</t>
        </is>
      </c>
      <c r="H238" s="17">
        <f>IF(C238&lt;40000,"Low",IF(C238&lt;=70000,"Middle","High"))</f>
        <v/>
      </c>
    </row>
    <row r="239">
      <c r="A239" t="inlineStr">
        <is>
          <t>H238</t>
        </is>
      </c>
      <c r="B239" t="n">
        <v>4</v>
      </c>
      <c r="C239" s="21" t="n">
        <v>76573</v>
      </c>
      <c r="D239" s="22" t="n">
        <v>319</v>
      </c>
      <c r="E239" s="22" t="n">
        <v>149</v>
      </c>
      <c r="F239" s="23" t="n">
        <v>8</v>
      </c>
      <c r="G239" t="inlineStr">
        <is>
          <t>Aug</t>
        </is>
      </c>
      <c r="H239">
        <f>IF(C239&lt;40000,"Low",IF(C239&lt;=70000,"Middle","High"))</f>
        <v/>
      </c>
    </row>
    <row r="240">
      <c r="A240" s="17" t="inlineStr">
        <is>
          <t>H239</t>
        </is>
      </c>
      <c r="B240" s="17" t="n">
        <v>7</v>
      </c>
      <c r="C240" s="18" t="n">
        <v>79101</v>
      </c>
      <c r="D240" s="19" t="n">
        <v>339</v>
      </c>
      <c r="E240" s="19" t="n">
        <v>126</v>
      </c>
      <c r="F240" s="20" t="n">
        <v>4</v>
      </c>
      <c r="G240" s="17" t="inlineStr">
        <is>
          <t>Sep</t>
        </is>
      </c>
      <c r="H240" s="17">
        <f>IF(C240&lt;40000,"Low",IF(C240&lt;=70000,"Middle","High"))</f>
        <v/>
      </c>
    </row>
    <row r="241">
      <c r="A241" t="inlineStr">
        <is>
          <t>H240</t>
        </is>
      </c>
      <c r="B241" t="n">
        <v>3</v>
      </c>
      <c r="C241" s="21" t="n">
        <v>46646</v>
      </c>
      <c r="D241" s="22" t="n">
        <v>496</v>
      </c>
      <c r="E241" s="22" t="n">
        <v>52</v>
      </c>
      <c r="F241" s="23" t="n">
        <v>12</v>
      </c>
      <c r="G241" t="inlineStr">
        <is>
          <t>Feb</t>
        </is>
      </c>
      <c r="H241">
        <f>IF(C241&lt;40000,"Low",IF(C241&lt;=70000,"Middle","High"))</f>
        <v/>
      </c>
    </row>
    <row r="242">
      <c r="A242" s="17" t="inlineStr">
        <is>
          <t>H241</t>
        </is>
      </c>
      <c r="B242" s="17" t="n">
        <v>6</v>
      </c>
      <c r="C242" s="18" t="n">
        <v>43049</v>
      </c>
      <c r="D242" s="19" t="n">
        <v>145</v>
      </c>
      <c r="E242" s="19" t="n">
        <v>183</v>
      </c>
      <c r="F242" s="20" t="n">
        <v>9</v>
      </c>
      <c r="G242" s="17" t="inlineStr">
        <is>
          <t>Sep</t>
        </is>
      </c>
      <c r="H242" s="17">
        <f>IF(C242&lt;40000,"Low",IF(C242&lt;=70000,"Middle","High"))</f>
        <v/>
      </c>
    </row>
    <row r="243">
      <c r="A243" t="inlineStr">
        <is>
          <t>H242</t>
        </is>
      </c>
      <c r="B243" t="n">
        <v>1</v>
      </c>
      <c r="C243" s="21" t="n">
        <v>99605</v>
      </c>
      <c r="D243" s="22" t="n">
        <v>134</v>
      </c>
      <c r="E243" s="22" t="n">
        <v>59</v>
      </c>
      <c r="F243" s="23" t="n">
        <v>4</v>
      </c>
      <c r="G243" t="inlineStr">
        <is>
          <t>Dec</t>
        </is>
      </c>
      <c r="H243">
        <f>IF(C243&lt;40000,"Low",IF(C243&lt;=70000,"Middle","High"))</f>
        <v/>
      </c>
    </row>
    <row r="244">
      <c r="A244" s="17" t="inlineStr">
        <is>
          <t>H243</t>
        </is>
      </c>
      <c r="B244" s="17" t="n">
        <v>4</v>
      </c>
      <c r="C244" s="18" t="n">
        <v>88385</v>
      </c>
      <c r="D244" s="19" t="n">
        <v>352</v>
      </c>
      <c r="E244" s="19" t="n">
        <v>54</v>
      </c>
      <c r="F244" s="20" t="n">
        <v>14</v>
      </c>
      <c r="G244" s="17" t="inlineStr">
        <is>
          <t>Nov</t>
        </is>
      </c>
      <c r="H244" s="17">
        <f>IF(C244&lt;40000,"Low",IF(C244&lt;=70000,"Middle","High"))</f>
        <v/>
      </c>
    </row>
    <row r="245">
      <c r="A245" t="inlineStr">
        <is>
          <t>H244</t>
        </is>
      </c>
      <c r="B245" t="n">
        <v>1</v>
      </c>
      <c r="C245" s="21" t="n">
        <v>60158</v>
      </c>
      <c r="D245" s="22" t="n">
        <v>489</v>
      </c>
      <c r="E245" s="22" t="n">
        <v>200</v>
      </c>
      <c r="F245" s="23" t="n">
        <v>2</v>
      </c>
      <c r="G245" t="inlineStr">
        <is>
          <t>Oct</t>
        </is>
      </c>
      <c r="H245">
        <f>IF(C245&lt;40000,"Low",IF(C245&lt;=70000,"Middle","High"))</f>
        <v/>
      </c>
    </row>
    <row r="246">
      <c r="A246" s="17" t="inlineStr">
        <is>
          <t>H245</t>
        </is>
      </c>
      <c r="B246" s="17" t="n">
        <v>6</v>
      </c>
      <c r="C246" s="18" t="n">
        <v>85417</v>
      </c>
      <c r="D246" s="19" t="n">
        <v>181</v>
      </c>
      <c r="E246" s="19" t="n">
        <v>187</v>
      </c>
      <c r="F246" s="20" t="n">
        <v>14</v>
      </c>
      <c r="G246" s="17" t="inlineStr">
        <is>
          <t>Sep</t>
        </is>
      </c>
      <c r="H246" s="17">
        <f>IF(C246&lt;40000,"Low",IF(C246&lt;=70000,"Middle","High"))</f>
        <v/>
      </c>
    </row>
    <row r="247">
      <c r="A247" t="inlineStr">
        <is>
          <t>H246</t>
        </is>
      </c>
      <c r="B247" t="n">
        <v>1</v>
      </c>
      <c r="C247" s="21" t="n">
        <v>43289</v>
      </c>
      <c r="D247" s="22" t="n">
        <v>470</v>
      </c>
      <c r="E247" s="22" t="n">
        <v>179</v>
      </c>
      <c r="F247" s="23" t="n">
        <v>14</v>
      </c>
      <c r="G247" t="inlineStr">
        <is>
          <t>Oct</t>
        </is>
      </c>
      <c r="H247">
        <f>IF(C247&lt;40000,"Low",IF(C247&lt;=70000,"Middle","High"))</f>
        <v/>
      </c>
    </row>
    <row r="248">
      <c r="A248" s="17" t="inlineStr">
        <is>
          <t>H247</t>
        </is>
      </c>
      <c r="B248" s="17" t="n">
        <v>2</v>
      </c>
      <c r="C248" s="18" t="n">
        <v>29823</v>
      </c>
      <c r="D248" s="19" t="n">
        <v>355</v>
      </c>
      <c r="E248" s="19" t="n">
        <v>62</v>
      </c>
      <c r="F248" s="20" t="n">
        <v>9</v>
      </c>
      <c r="G248" s="17" t="inlineStr">
        <is>
          <t>Oct</t>
        </is>
      </c>
      <c r="H248" s="17">
        <f>IF(C248&lt;40000,"Low",IF(C248&lt;=70000,"Middle","High"))</f>
        <v/>
      </c>
    </row>
    <row r="249">
      <c r="A249" t="inlineStr">
        <is>
          <t>H248</t>
        </is>
      </c>
      <c r="B249" t="n">
        <v>4</v>
      </c>
      <c r="C249" s="21" t="n">
        <v>80160</v>
      </c>
      <c r="D249" s="22" t="n">
        <v>296</v>
      </c>
      <c r="E249" s="22" t="n">
        <v>179</v>
      </c>
      <c r="F249" s="23" t="n">
        <v>4</v>
      </c>
      <c r="G249" t="inlineStr">
        <is>
          <t>Jul</t>
        </is>
      </c>
      <c r="H249">
        <f>IF(C249&lt;40000,"Low",IF(C249&lt;=70000,"Middle","High"))</f>
        <v/>
      </c>
    </row>
    <row r="250">
      <c r="A250" s="17" t="inlineStr">
        <is>
          <t>H249</t>
        </is>
      </c>
      <c r="B250" s="17" t="n">
        <v>4</v>
      </c>
      <c r="C250" s="18" t="n">
        <v>61975</v>
      </c>
      <c r="D250" s="19" t="n">
        <v>402</v>
      </c>
      <c r="E250" s="19" t="n">
        <v>133</v>
      </c>
      <c r="F250" s="20" t="n">
        <v>3</v>
      </c>
      <c r="G250" s="17" t="inlineStr">
        <is>
          <t>Jan</t>
        </is>
      </c>
      <c r="H250" s="17">
        <f>IF(C250&lt;40000,"Low",IF(C250&lt;=70000,"Middle","High"))</f>
        <v/>
      </c>
    </row>
    <row r="251">
      <c r="A251" t="inlineStr">
        <is>
          <t>H250</t>
        </is>
      </c>
      <c r="B251" t="n">
        <v>6</v>
      </c>
      <c r="C251" s="21" t="n">
        <v>29540</v>
      </c>
      <c r="D251" s="22" t="n">
        <v>109</v>
      </c>
      <c r="E251" s="22" t="n">
        <v>114</v>
      </c>
      <c r="F251" s="23" t="n">
        <v>2</v>
      </c>
      <c r="G251" t="inlineStr">
        <is>
          <t>Jul</t>
        </is>
      </c>
      <c r="H251">
        <f>IF(C251&lt;40000,"Low",IF(C251&lt;=70000,"Middle","High"))</f>
        <v/>
      </c>
    </row>
  </sheetData>
  <autoFilter ref="A1:H251"/>
  <conditionalFormatting sqref="A1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G9"/>
  <sheetViews>
    <sheetView showGridLines="0" workbookViewId="0">
      <selection activeCell="F9" sqref="F6:G9"/>
    </sheetView>
  </sheetViews>
  <sheetFormatPr baseColWidth="8" defaultRowHeight="14.5"/>
  <cols>
    <col width="19.08984375" customWidth="1" style="13" min="6" max="6"/>
    <col width="10.08984375" customWidth="1" style="13" min="7" max="7"/>
  </cols>
  <sheetData>
    <row r="1" ht="24" customHeight="1" s="13">
      <c r="F1" s="16" t="n"/>
      <c r="G1" s="16" t="n"/>
    </row>
    <row r="4">
      <c r="F4" s="1" t="n"/>
      <c r="G4" s="1" t="n"/>
    </row>
    <row r="5">
      <c r="F5" s="1" t="inlineStr">
        <is>
          <t>Data Quality Check</t>
        </is>
      </c>
      <c r="G5" s="1" t="inlineStr">
        <is>
          <t>Result</t>
        </is>
      </c>
    </row>
    <row r="6">
      <c r="F6" s="4" t="inlineStr">
        <is>
          <t>Total Records</t>
        </is>
      </c>
      <c r="G6" s="4" t="n">
        <v>250</v>
      </c>
    </row>
    <row r="7">
      <c r="F7" s="4" t="inlineStr">
        <is>
          <t>Duplicate Records</t>
        </is>
      </c>
      <c r="G7" s="4" t="n">
        <v>0</v>
      </c>
    </row>
    <row r="8">
      <c r="F8" s="24" t="inlineStr">
        <is>
          <t>Quality Status</t>
        </is>
      </c>
      <c r="G8" s="25">
        <f>IF(AND(G6=250,G7=0,G9="Correct"),"PASS","REVIEW")</f>
        <v/>
      </c>
    </row>
    <row r="9">
      <c r="F9" s="4" t="inlineStr">
        <is>
          <t>Data Types</t>
        </is>
      </c>
      <c r="G9" s="4" t="inlineStr">
        <is>
          <t>Correct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E2" sqref="E2:H14"/>
    </sheetView>
  </sheetViews>
  <sheetFormatPr baseColWidth="8" defaultRowHeight="14.5"/>
  <cols>
    <col width="25.1796875" customWidth="1" style="13" min="1" max="1"/>
    <col width="15.36328125" customWidth="1" style="13" min="2" max="2"/>
    <col width="29.90625" customWidth="1" style="13" min="6" max="6"/>
    <col width="14.36328125" customWidth="1" style="13" min="7" max="7"/>
  </cols>
  <sheetData>
    <row r="1" ht="24" customHeight="1" s="13">
      <c r="A1" s="16" t="n"/>
      <c r="B1" s="16" t="n"/>
      <c r="C1" s="5" t="n"/>
    </row>
    <row r="2">
      <c r="A2" s="26" t="n"/>
      <c r="B2" s="27" t="n"/>
      <c r="C2" s="5" t="n"/>
    </row>
    <row r="3">
      <c r="A3" s="28" t="inlineStr">
        <is>
          <t>Metric</t>
        </is>
      </c>
      <c r="B3" s="29" t="inlineStr">
        <is>
          <t>Value</t>
        </is>
      </c>
      <c r="C3" s="5" t="n"/>
    </row>
    <row r="4">
      <c r="A4" s="30" t="inlineStr">
        <is>
          <t>Total Households</t>
        </is>
      </c>
      <c r="B4" s="31">
        <f>COUNTA(Raw_Data!A2:A251)</f>
        <v/>
      </c>
      <c r="C4" s="5" t="n"/>
    </row>
    <row r="5">
      <c r="A5" s="30" t="inlineStr">
        <is>
          <t>Average Family Size</t>
        </is>
      </c>
      <c r="B5" s="32">
        <f>AVERAGE(Raw_Data!B2:B251)</f>
        <v/>
      </c>
      <c r="C5" s="5" t="n"/>
    </row>
    <row r="6">
      <c r="A6" s="30" t="inlineStr">
        <is>
          <t>Average Monthly Income</t>
        </is>
      </c>
      <c r="B6" s="32">
        <f>AVERAGE(Raw_Data!C2:C251)</f>
        <v/>
      </c>
      <c r="C6" s="5" t="n"/>
    </row>
    <row r="7">
      <c r="A7" s="30" t="inlineStr">
        <is>
          <t>Average Electricity Usage</t>
        </is>
      </c>
      <c r="B7" s="32">
        <f>AVERAGE(Raw_Data!D2:D251)</f>
        <v/>
      </c>
      <c r="C7" s="5" t="n"/>
    </row>
    <row r="8">
      <c r="A8" s="30" t="inlineStr">
        <is>
          <t>Average Gas Usage</t>
        </is>
      </c>
      <c r="B8" s="32">
        <f>AVERAGE(Raw_Data!E2:E251)</f>
        <v/>
      </c>
      <c r="C8" s="5" t="n"/>
    </row>
    <row r="9">
      <c r="A9" s="30" t="inlineStr">
        <is>
          <t>Average Appliances</t>
        </is>
      </c>
      <c r="B9" s="32">
        <f>AVERAGE(Raw_Data!F2:F251)</f>
        <v/>
      </c>
      <c r="C9" s="5" t="n"/>
    </row>
    <row r="10">
      <c r="A10" s="30" t="inlineStr">
        <is>
          <t>Maximum Electricity Usage</t>
        </is>
      </c>
      <c r="B10" s="32">
        <f>MAX(Raw_Data!D2:D251)</f>
        <v/>
      </c>
      <c r="C10" s="5" t="n"/>
    </row>
    <row r="11">
      <c r="A11" s="30" t="inlineStr">
        <is>
          <t>Minimum Electricity Usage</t>
        </is>
      </c>
      <c r="B11" s="32">
        <f>MIN(Raw_Data!D2:D251)</f>
        <v/>
      </c>
      <c r="C11" s="5" t="n"/>
    </row>
    <row r="12">
      <c r="A12" s="30" t="inlineStr">
        <is>
          <t>Total Electricity Usage</t>
        </is>
      </c>
      <c r="B12" s="32">
        <f>SUM(Raw_Data!D2:D251)</f>
        <v/>
      </c>
      <c r="C12" s="5" t="n"/>
    </row>
    <row r="13">
      <c r="A13" s="30" t="inlineStr">
        <is>
          <t>Total Gas Usage</t>
        </is>
      </c>
      <c r="B13" s="32">
        <f>SUM(Raw_Data!E2:E251)</f>
        <v/>
      </c>
      <c r="C13" s="5" t="n"/>
    </row>
    <row r="14">
      <c r="A14" s="26" t="n"/>
      <c r="B14" s="33" t="n"/>
      <c r="C14" s="5" t="n"/>
    </row>
    <row r="15">
      <c r="A15" s="26" t="n"/>
      <c r="B15" s="33" t="n"/>
      <c r="C15" s="5" t="n"/>
      <c r="F15" s="2" t="n"/>
      <c r="G15" s="5" t="n"/>
    </row>
    <row r="16">
      <c r="A16" s="34" t="n"/>
      <c r="B16" s="33" t="n"/>
      <c r="C16" s="5" t="n"/>
      <c r="F16" s="2" t="n"/>
      <c r="G16" s="2" t="n"/>
    </row>
    <row r="17">
      <c r="A17" s="34" t="n"/>
      <c r="B17" s="22" t="n"/>
      <c r="F17" s="2" t="n"/>
      <c r="G17" s="2" t="n"/>
    </row>
    <row r="18">
      <c r="A18" s="34" t="n"/>
      <c r="B18" s="22" t="n"/>
      <c r="F18" s="2" t="n"/>
      <c r="G18" s="2" t="n"/>
    </row>
    <row r="19">
      <c r="A19" s="34" t="n"/>
      <c r="B19" s="22" t="n"/>
      <c r="F19" s="2" t="n"/>
      <c r="G19" s="2" t="n"/>
    </row>
    <row r="20">
      <c r="A20" s="34" t="n"/>
      <c r="B20" s="22" t="n"/>
      <c r="F20" s="2" t="n"/>
      <c r="G20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63" workbookViewId="0">
      <selection activeCell="B6" sqref="B6"/>
    </sheetView>
  </sheetViews>
  <sheetFormatPr baseColWidth="8" defaultRowHeight="14.5"/>
  <cols>
    <col width="10.90625" bestFit="1" customWidth="1" style="13" min="1" max="1"/>
    <col width="20.08984375" bestFit="1" customWidth="1" style="13" min="2" max="2"/>
    <col width="31" bestFit="1" customWidth="1" style="13" min="3" max="3"/>
    <col width="59.54296875" customWidth="1" style="13" min="4" max="4"/>
    <col width="7.1796875" customWidth="1" style="13" min="5" max="5"/>
    <col hidden="1" width="8.7265625" customWidth="1" style="13" min="6" max="6"/>
    <col width="28.7265625" customWidth="1" style="13" min="7" max="7"/>
    <col width="15.81640625" customWidth="1" style="13" min="8" max="8"/>
  </cols>
  <sheetData>
    <row r="1" ht="21" customHeight="1" s="13">
      <c r="A1" s="11" t="inlineStr">
        <is>
          <t>Monthly Electricity Consumption</t>
        </is>
      </c>
    </row>
    <row r="2" ht="24" customHeight="1" s="13">
      <c r="A2" s="16" t="n"/>
      <c r="B2" s="16" t="n"/>
      <c r="C2" s="16" t="n"/>
    </row>
    <row r="3">
      <c r="A3" s="10" t="inlineStr">
        <is>
          <t>Month</t>
        </is>
      </c>
      <c r="B3" s="22" t="inlineStr">
        <is>
          <t>Average of Gas_Usage</t>
        </is>
      </c>
      <c r="C3" s="22" t="inlineStr">
        <is>
          <t>Average of Electricity_Usage (kWh)</t>
        </is>
      </c>
      <c r="F3" s="2" t="n"/>
      <c r="G3" s="2" t="n"/>
      <c r="H3" s="2" t="n"/>
      <c r="I3" s="2" t="n"/>
    </row>
    <row r="4" ht="21" customHeight="1" s="13">
      <c r="A4" s="2" t="inlineStr">
        <is>
          <t>Jan</t>
        </is>
      </c>
      <c r="B4" s="22" t="n">
        <v>133.9565217391304</v>
      </c>
      <c r="C4" s="22" t="n">
        <v>300.3913043478261</v>
      </c>
      <c r="F4" s="2" t="n"/>
      <c r="G4" s="12" t="inlineStr">
        <is>
          <t>Energy Consumption Patterns</t>
        </is>
      </c>
      <c r="H4" s="2" t="n"/>
      <c r="I4" s="2" t="n"/>
    </row>
    <row r="5">
      <c r="A5" s="35" t="inlineStr">
        <is>
          <t>Feb</t>
        </is>
      </c>
      <c r="B5" s="36" t="n">
        <v>125.75</v>
      </c>
      <c r="C5" s="36" t="n">
        <v>349.1666666666667</v>
      </c>
      <c r="D5" s="2" t="n"/>
      <c r="F5" s="2" t="n"/>
      <c r="G5" s="2" t="n"/>
      <c r="H5" s="2" t="n"/>
      <c r="I5" s="2" t="n"/>
    </row>
    <row r="6">
      <c r="A6" s="2" t="inlineStr">
        <is>
          <t>Mar</t>
        </is>
      </c>
      <c r="B6" s="22" t="n">
        <v>119.9565217391304</v>
      </c>
      <c r="C6" s="22" t="n">
        <v>271.4782608695652</v>
      </c>
      <c r="D6" s="2" t="inlineStr">
        <is>
          <t xml:space="preserve">Electricity consumption varies across months. </t>
        </is>
      </c>
      <c r="F6" s="2" t="n"/>
      <c r="G6" s="1" t="inlineStr">
        <is>
          <t>A</t>
        </is>
      </c>
      <c r="H6" s="1" t="inlineStr">
        <is>
          <t>B</t>
        </is>
      </c>
      <c r="I6" s="2" t="n"/>
    </row>
    <row r="7">
      <c r="A7" s="2" t="inlineStr">
        <is>
          <t>Apr</t>
        </is>
      </c>
      <c r="B7" s="22" t="n">
        <v>118.6428571428571</v>
      </c>
      <c r="C7" s="22" t="n">
        <v>291.9285714285714</v>
      </c>
      <c r="D7" s="2" t="inlineStr">
        <is>
          <t xml:space="preserve"> February has the highest average electricity consumption at 349.17 kWh, </t>
        </is>
      </c>
      <c r="F7" s="2" t="n"/>
      <c r="G7" s="3" t="inlineStr">
        <is>
          <t>Average Electricity Usage (kWh)</t>
        </is>
      </c>
      <c r="H7" s="7">
        <f>AVERAGE(Raw_Data!D2:D251)</f>
        <v/>
      </c>
      <c r="I7" s="2" t="n"/>
    </row>
    <row r="8">
      <c r="A8" s="2" t="inlineStr">
        <is>
          <t>May</t>
        </is>
      </c>
      <c r="B8" s="22" t="n">
        <v>125.6521739130435</v>
      </c>
      <c r="C8" s="22" t="n">
        <v>299.3478260869565</v>
      </c>
      <c r="D8" s="2" t="inlineStr">
        <is>
          <t>while August has the lowest at 254.30 kWh.</t>
        </is>
      </c>
      <c r="F8" s="2" t="n"/>
      <c r="G8" s="3" t="inlineStr">
        <is>
          <t>Maximum Electricity Usage (kWh)</t>
        </is>
      </c>
      <c r="H8" s="7">
        <f>MAX(Raw_Data!D2:D251)</f>
        <v/>
      </c>
      <c r="I8" s="2" t="n"/>
    </row>
    <row r="9">
      <c r="A9" s="2" t="inlineStr">
        <is>
          <t>Jun</t>
        </is>
      </c>
      <c r="B9" s="22" t="n">
        <v>118.55</v>
      </c>
      <c r="C9" s="22" t="n">
        <v>339.2</v>
      </c>
      <c r="D9" s="2" t="inlineStr">
        <is>
          <t>June and October also show relatively high average consumption.</t>
        </is>
      </c>
      <c r="F9" s="2" t="n"/>
      <c r="G9" s="3" t="inlineStr">
        <is>
          <t>Minimum Electricity Usage (kWh)</t>
        </is>
      </c>
      <c r="H9" s="7">
        <f>MIN(Raw_Data!D2:D251)</f>
        <v/>
      </c>
      <c r="I9" s="2" t="n"/>
    </row>
    <row r="10">
      <c r="A10" s="2" t="inlineStr">
        <is>
          <t>Jul</t>
        </is>
      </c>
      <c r="B10" s="22" t="n">
        <v>122.04</v>
      </c>
      <c r="C10" s="22" t="n">
        <v>305.92</v>
      </c>
      <c r="D10" s="2" t="n"/>
      <c r="F10" s="2" t="n"/>
      <c r="G10" s="3" t="inlineStr">
        <is>
          <t>Total Electricity Usage (kWh)</t>
        </is>
      </c>
      <c r="H10" s="7">
        <f>SUM(Raw_Data!D2:D251)</f>
        <v/>
      </c>
      <c r="I10" s="2" t="n"/>
    </row>
    <row r="11">
      <c r="A11" s="2" t="inlineStr">
        <is>
          <t>Aug</t>
        </is>
      </c>
      <c r="B11" s="22" t="n">
        <v>126.25</v>
      </c>
      <c r="C11" s="22" t="n">
        <v>254.3</v>
      </c>
      <c r="F11" s="2" t="n"/>
      <c r="G11" s="3" t="inlineStr">
        <is>
          <t>Average Gas Usage</t>
        </is>
      </c>
      <c r="H11" s="7">
        <f>AVERAGE(Raw_Data!E2:E251)</f>
        <v/>
      </c>
      <c r="I11" s="2" t="n"/>
    </row>
    <row r="12">
      <c r="A12" s="2" t="inlineStr">
        <is>
          <t>Sep</t>
        </is>
      </c>
      <c r="B12" s="22" t="n">
        <v>126.2105263157895</v>
      </c>
      <c r="C12" s="22" t="n">
        <v>270.0526315789473</v>
      </c>
      <c r="F12" s="2" t="n"/>
      <c r="G12" s="3" t="inlineStr">
        <is>
          <t>Maximum Gas Usage</t>
        </is>
      </c>
      <c r="H12" s="7">
        <f>MAX(Raw_Data!E2:E251)</f>
        <v/>
      </c>
      <c r="I12" s="2" t="n"/>
    </row>
    <row r="13">
      <c r="A13" s="2" t="inlineStr">
        <is>
          <t>Oct</t>
        </is>
      </c>
      <c r="B13" s="22" t="n">
        <v>119.2272727272727</v>
      </c>
      <c r="C13" s="22" t="n">
        <v>340.1818181818182</v>
      </c>
      <c r="F13" s="2" t="n"/>
      <c r="G13" s="3" t="inlineStr">
        <is>
          <t>Minimum Gas Usage</t>
        </is>
      </c>
      <c r="H13" s="7">
        <f>MIN(Raw_Data!E2:E251)</f>
        <v/>
      </c>
      <c r="I13" s="2" t="n"/>
    </row>
    <row r="14">
      <c r="A14" s="2" t="inlineStr">
        <is>
          <t>Nov</t>
        </is>
      </c>
      <c r="B14" s="22" t="n">
        <v>111.4210526315789</v>
      </c>
      <c r="C14" s="22" t="n">
        <v>287.0526315789473</v>
      </c>
      <c r="F14" s="2" t="n"/>
      <c r="G14" s="3" t="inlineStr">
        <is>
          <t>Total Gas Usage</t>
        </is>
      </c>
      <c r="H14" s="7">
        <f>SUM(Raw_Data!E2:E251)</f>
        <v/>
      </c>
      <c r="I14" s="2" t="n"/>
    </row>
    <row r="15">
      <c r="A15" s="2" t="inlineStr">
        <is>
          <t>Dec</t>
        </is>
      </c>
      <c r="B15" t="n">
        <v>129</v>
      </c>
      <c r="C15" t="n">
        <v>291.2777777777778</v>
      </c>
      <c r="F15" s="2" t="n"/>
      <c r="G15" s="2" t="n"/>
      <c r="H15" s="5" t="n"/>
      <c r="I15" s="2" t="n"/>
    </row>
    <row r="16">
      <c r="A16" s="2" t="inlineStr">
        <is>
          <t>Grand Total</t>
        </is>
      </c>
      <c r="B16" t="n">
        <v>123.264</v>
      </c>
      <c r="C16" t="n">
        <v>301.34</v>
      </c>
      <c r="H16" s="5" t="n"/>
    </row>
    <row r="17">
      <c r="H17" s="5" t="n"/>
    </row>
    <row r="18">
      <c r="H18" s="5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="79" workbookViewId="0">
      <selection activeCell="B17" sqref="A15:B19"/>
    </sheetView>
  </sheetViews>
  <sheetFormatPr baseColWidth="8" defaultRowHeight="14.5"/>
  <cols>
    <col width="21.7265625" bestFit="1" customWidth="1" style="13" min="1" max="1"/>
    <col width="38" bestFit="1" customWidth="1" style="13" min="2" max="2"/>
    <col width="13.1796875" bestFit="1" customWidth="1" style="13" min="5" max="5"/>
    <col width="32" bestFit="1" customWidth="1" style="13" min="6" max="6"/>
  </cols>
  <sheetData>
    <row r="1" ht="21" customHeight="1" s="13">
      <c r="A1" s="37" t="inlineStr">
        <is>
          <t>Average Electricity Usage by Family Size</t>
        </is>
      </c>
      <c r="E1" s="37" t="inlineStr">
        <is>
          <t>Average Electricity Usage by Appliance Count</t>
        </is>
      </c>
    </row>
    <row r="3">
      <c r="A3" s="10" t="inlineStr">
        <is>
          <t>Family size</t>
        </is>
      </c>
      <c r="B3" s="22" t="inlineStr">
        <is>
          <t>Average of Electricity_Usage (kWh)</t>
        </is>
      </c>
      <c r="E3" s="10" t="inlineStr">
        <is>
          <t>Appliances_Count</t>
        </is>
      </c>
      <c r="F3" s="22" t="inlineStr">
        <is>
          <t>Average of Electricity_Usage (kWh)</t>
        </is>
      </c>
    </row>
    <row r="4">
      <c r="A4" s="2" t="n">
        <v>1</v>
      </c>
      <c r="B4" s="22" t="n">
        <v>283.1944444444445</v>
      </c>
      <c r="E4" s="2" t="n">
        <v>2</v>
      </c>
      <c r="F4" s="22" t="n">
        <v>286.92</v>
      </c>
    </row>
    <row r="5">
      <c r="A5" s="2" t="n">
        <v>2</v>
      </c>
      <c r="B5" s="22" t="n">
        <v>309.2333333333333</v>
      </c>
      <c r="E5" s="2" t="n">
        <v>3</v>
      </c>
      <c r="F5" s="22" t="n">
        <v>334.75</v>
      </c>
    </row>
    <row r="6">
      <c r="A6" s="2" t="n">
        <v>3</v>
      </c>
      <c r="B6" s="22" t="n">
        <v>330.625</v>
      </c>
      <c r="E6" s="2" t="n">
        <v>4</v>
      </c>
      <c r="F6" s="22" t="n">
        <v>299.0526315789473</v>
      </c>
    </row>
    <row r="7">
      <c r="A7" s="2" t="n">
        <v>4</v>
      </c>
      <c r="B7" s="22" t="n">
        <v>277.4444444444445</v>
      </c>
      <c r="E7" s="2" t="n">
        <v>5</v>
      </c>
      <c r="F7" s="22" t="n">
        <v>303.5263157894737</v>
      </c>
    </row>
    <row r="8">
      <c r="A8" s="2" t="n">
        <v>5</v>
      </c>
      <c r="B8" s="22" t="n">
        <v>316.25</v>
      </c>
      <c r="E8" s="2" t="n">
        <v>6</v>
      </c>
      <c r="F8" s="22" t="n">
        <v>278.3333333333333</v>
      </c>
    </row>
    <row r="9">
      <c r="A9" s="2" t="n">
        <v>6</v>
      </c>
      <c r="B9" s="22" t="n">
        <v>296.2352941176471</v>
      </c>
      <c r="E9" s="2" t="n">
        <v>7</v>
      </c>
      <c r="F9" s="22" t="n">
        <v>339.047619047619</v>
      </c>
    </row>
    <row r="10">
      <c r="A10" s="2" t="n">
        <v>7</v>
      </c>
      <c r="B10" s="22" t="n">
        <v>307.4634146341463</v>
      </c>
      <c r="E10" s="2" t="n">
        <v>8</v>
      </c>
      <c r="F10" s="22" t="n">
        <v>285.7058823529412</v>
      </c>
    </row>
    <row r="11">
      <c r="A11" s="2" t="inlineStr">
        <is>
          <t>Grand Total</t>
        </is>
      </c>
      <c r="B11" t="n">
        <v>301.34</v>
      </c>
      <c r="E11" s="2" t="n">
        <v>9</v>
      </c>
      <c r="F11" s="22" t="n">
        <v>299.1923076923077</v>
      </c>
    </row>
    <row r="12">
      <c r="E12" s="37" t="n">
        <v>10</v>
      </c>
      <c r="F12" s="38" t="n">
        <v>299.5263157894737</v>
      </c>
    </row>
    <row r="13" ht="21" customHeight="1" s="13">
      <c r="A13" s="11" t="inlineStr">
        <is>
          <t>Average Electricity Usage by Income Level</t>
        </is>
      </c>
      <c r="E13" s="2" t="n">
        <v>11</v>
      </c>
      <c r="F13" s="22" t="n">
        <v>307.625</v>
      </c>
    </row>
    <row r="14">
      <c r="E14" s="2" t="n">
        <v>12</v>
      </c>
      <c r="F14" s="22" t="n">
        <v>304.9090909090909</v>
      </c>
    </row>
    <row r="15">
      <c r="A15" s="10" t="inlineStr">
        <is>
          <t>Income_Level</t>
        </is>
      </c>
      <c r="B15" t="inlineStr">
        <is>
          <t>Average of Electricity_Usage (kWh)</t>
        </is>
      </c>
      <c r="E15" s="2" t="n">
        <v>13</v>
      </c>
      <c r="F15" t="n">
        <v>296.7142857142857</v>
      </c>
    </row>
    <row r="16">
      <c r="A16" s="2" t="inlineStr">
        <is>
          <t>High</t>
        </is>
      </c>
      <c r="B16" s="22" t="n">
        <v>298.2857142857143</v>
      </c>
      <c r="E16" s="2" t="n">
        <v>14</v>
      </c>
      <c r="F16" t="n">
        <v>295.7894736842105</v>
      </c>
    </row>
    <row r="17">
      <c r="A17" s="2" t="inlineStr">
        <is>
          <t>Low</t>
        </is>
      </c>
      <c r="B17" s="22" t="n">
        <v>297.4558823529412</v>
      </c>
      <c r="E17" s="2" t="inlineStr">
        <is>
          <t>Grand Total</t>
        </is>
      </c>
      <c r="F17" t="n">
        <v>301.34</v>
      </c>
    </row>
    <row r="18">
      <c r="A18" s="2" t="inlineStr">
        <is>
          <t>Middle</t>
        </is>
      </c>
      <c r="B18" s="22" t="n">
        <v>308.047619047619</v>
      </c>
    </row>
    <row r="19">
      <c r="A19" s="2" t="inlineStr">
        <is>
          <t>Grand Total</t>
        </is>
      </c>
      <c r="B19" t="n">
        <v>301.34</v>
      </c>
    </row>
    <row r="23">
      <c r="B23" t="inlineStr">
        <is>
          <t>Households with 7 appliances have the highest average electricity consumption at approximately 339.05 kWh.</t>
        </is>
      </c>
    </row>
    <row r="24">
      <c r="B24" t="inlineStr">
        <is>
          <t>By family size, households with 3 family members have the highest average consumption at approximately 330.63 kWh.</t>
        </is>
      </c>
    </row>
    <row r="25">
      <c r="B25" t="inlineStr">
        <is>
          <t>By income level, middle-income households have the highest average consumption at approximately 308.05 kWh.</t>
        </is>
      </c>
    </row>
    <row r="26">
      <c r="B26" t="inlineStr">
        <is>
          <t>Overall, the appliance-count comparison shows the highest average electricity usage among the three factors analyzed.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topLeftCell="A4" workbookViewId="0">
      <selection activeCell="A17" sqref="A17"/>
    </sheetView>
  </sheetViews>
  <sheetFormatPr baseColWidth="8" defaultRowHeight="14.5"/>
  <cols>
    <col width="95" customWidth="1" style="13" min="1" max="1"/>
  </cols>
  <sheetData>
    <row r="1" ht="21" customHeight="1" s="13">
      <c r="A1" s="39" t="inlineStr">
        <is>
          <t>Energy-Saving Recommendations</t>
        </is>
      </c>
    </row>
    <row r="2" ht="28" customHeight="1" s="13">
      <c r="A2" s="40" t="n"/>
    </row>
    <row r="3" ht="28" customHeight="1" s="13">
      <c r="A3" s="41" t="inlineStr">
        <is>
          <t>Energy-Saving Measures</t>
        </is>
      </c>
    </row>
    <row r="4" ht="28" customHeight="1" s="13">
      <c r="A4" s="40" t="n"/>
    </row>
    <row r="5" ht="28" customHeight="1" s="13">
      <c r="A5" s="40" t="inlineStr">
        <is>
          <t>1. Use energy-efficient appliances and replace outdated appliances when practical.</t>
        </is>
      </c>
    </row>
    <row r="6" ht="28" customHeight="1" s="13">
      <c r="A6" s="40" t="inlineStr">
        <is>
          <t>2. Switch off lights and appliances when they are not required.</t>
        </is>
      </c>
    </row>
    <row r="7" ht="28" customHeight="1" s="13">
      <c r="A7" s="40" t="inlineStr">
        <is>
          <t>3. Replace conventional bulbs with energy-efficient LED lighting.</t>
        </is>
      </c>
    </row>
    <row r="8" ht="28" customHeight="1" s="13">
      <c r="A8" s="42" t="inlineStr">
        <is>
          <t>4. Maintain appliances regularly, including cleaning AC filters.</t>
        </is>
      </c>
    </row>
    <row r="9" ht="28" customHeight="1" s="13">
      <c r="A9" s="40" t="inlineStr">
        <is>
          <t>5. Reduce unnecessary use of high-energy-consuming appliances.</t>
        </is>
      </c>
    </row>
    <row r="10" ht="28" customHeight="1" s="13">
      <c r="A10" s="40" t="inlineStr">
        <is>
          <t>6. Monitor monthly electricity consumption to identify unusual increases.</t>
        </is>
      </c>
    </row>
    <row r="11" ht="28" customHeight="1" s="13">
      <c r="A11" s="40" t="n"/>
    </row>
    <row r="12" ht="28" customHeight="1" s="13">
      <c r="A12" s="40" t="n"/>
    </row>
    <row r="13" ht="28" customHeight="1" s="13">
      <c r="A13" s="41" t="inlineStr">
        <is>
          <t>Analysis-Based Recommendation</t>
        </is>
      </c>
    </row>
    <row r="14" ht="28" customHeight="1" s="13">
      <c r="A14" s="40" t="n"/>
    </row>
    <row r="15" ht="28" customHeight="1" s="13">
      <c r="A15" s="40" t="inlineStr">
        <is>
          <t>Households with 7 appliances recorded the highest average electricity usage (339.05 kWh) in the analysis.</t>
        </is>
      </c>
    </row>
    <row r="16" ht="28" customHeight="1" s="13">
      <c r="A16" s="40" t="inlineStr">
        <is>
          <t>These households should prioritize efficient appliance use, regular maintenance,</t>
        </is>
      </c>
    </row>
    <row r="17" ht="28" customHeight="1" s="13">
      <c r="A17" s="40" t="inlineStr">
        <is>
          <t>reducing unnecessary usage, and monitoring electricity consumption.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zoomScale="54" workbookViewId="0">
      <pane ySplit="6" topLeftCell="A7" activePane="bottomLeft" state="frozen"/>
      <selection pane="bottomLeft" activeCell="F19" sqref="F19"/>
    </sheetView>
  </sheetViews>
  <sheetFormatPr baseColWidth="8" defaultRowHeight="14.5"/>
  <cols>
    <col width="12" customWidth="1" style="13" min="1" max="1"/>
    <col width="12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2" customWidth="1" style="13" min="8" max="8"/>
    <col width="12" customWidth="1" style="13" min="9" max="9"/>
    <col width="12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2" customWidth="1" style="13" min="15" max="15"/>
    <col width="12" customWidth="1" style="13" min="16" max="16"/>
  </cols>
  <sheetData>
    <row r="1" ht="32" customHeight="1" s="13">
      <c r="A1" s="43" t="inlineStr">
        <is>
          <t>HOUSEHOLD ENERGY CONSUMPTION DASHBOARD</t>
        </is>
      </c>
    </row>
    <row r="2">
      <c r="A2" s="44" t="n"/>
      <c r="B2" s="44" t="n"/>
      <c r="C2" s="44" t="n"/>
      <c r="D2" s="44" t="n"/>
      <c r="E2" s="44" t="n"/>
      <c r="F2" s="44" t="n"/>
      <c r="G2" s="44" t="n"/>
      <c r="H2" s="44" t="n"/>
    </row>
    <row r="3">
      <c r="A3" s="45" t="inlineStr">
        <is>
          <t>Total Households</t>
        </is>
      </c>
      <c r="B3" s="52" t="n"/>
      <c r="C3" s="52" t="n"/>
      <c r="D3" s="53" t="n"/>
      <c r="E3" s="45" t="inlineStr">
        <is>
          <t>Avg Electricity (kWh)</t>
        </is>
      </c>
      <c r="F3" s="52" t="n"/>
      <c r="G3" s="52" t="n"/>
      <c r="H3" s="53" t="n"/>
      <c r="I3" s="45" t="inlineStr">
        <is>
          <t>Avg Appliances</t>
        </is>
      </c>
      <c r="J3" s="52" t="n"/>
      <c r="K3" s="52" t="n"/>
      <c r="L3" s="53" t="n"/>
      <c r="M3" s="45" t="inlineStr">
        <is>
          <t>Avg Monthly Income</t>
        </is>
      </c>
      <c r="N3" s="52" t="n"/>
      <c r="O3" s="52" t="n"/>
      <c r="P3" s="53" t="n"/>
    </row>
    <row r="4">
      <c r="A4" s="47">
        <f>Analysis!B4</f>
        <v/>
      </c>
      <c r="B4" s="54" t="n"/>
      <c r="C4" s="54" t="n"/>
      <c r="D4" s="55" t="n"/>
      <c r="E4" s="48">
        <f>Analysis!B7</f>
        <v/>
      </c>
      <c r="F4" s="54" t="n"/>
      <c r="G4" s="54" t="n"/>
      <c r="H4" s="55" t="n"/>
      <c r="I4" s="48">
        <f>Analysis!B9</f>
        <v/>
      </c>
      <c r="J4" s="54" t="n"/>
      <c r="K4" s="54" t="n"/>
      <c r="L4" s="55" t="n"/>
      <c r="M4" s="49">
        <f>Analysis!B6</f>
        <v/>
      </c>
      <c r="N4" s="54" t="n"/>
      <c r="O4" s="54" t="n"/>
      <c r="P4" s="55" t="n"/>
    </row>
    <row r="5">
      <c r="A5" s="56" t="n"/>
      <c r="B5" s="57" t="n"/>
      <c r="C5" s="57" t="n"/>
      <c r="D5" s="58" t="n"/>
      <c r="E5" s="56" t="n"/>
      <c r="F5" s="57" t="n"/>
      <c r="G5" s="57" t="n"/>
      <c r="H5" s="58" t="n"/>
      <c r="I5" s="56" t="n"/>
      <c r="J5" s="57" t="n"/>
      <c r="K5" s="57" t="n"/>
      <c r="L5" s="58" t="n"/>
      <c r="M5" s="56" t="n"/>
      <c r="N5" s="57" t="n"/>
      <c r="O5" s="57" t="n"/>
      <c r="P5" s="58" t="n"/>
    </row>
    <row r="6">
      <c r="A6" s="44" t="n"/>
      <c r="B6" s="44" t="n"/>
      <c r="C6" s="44" t="n"/>
      <c r="D6" s="44" t="n"/>
      <c r="E6" s="44" t="n"/>
      <c r="F6" s="44" t="n"/>
      <c r="G6" s="44" t="n"/>
      <c r="H6" s="44" t="n"/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</row>
    <row r="8">
      <c r="A8" s="44" t="n"/>
      <c r="B8" s="44" t="n"/>
      <c r="C8" s="44" t="n"/>
      <c r="D8" s="44" t="n"/>
      <c r="E8" s="44" t="n"/>
      <c r="F8" s="44" t="n"/>
      <c r="G8" s="44" t="n"/>
      <c r="H8" s="44" t="n"/>
    </row>
    <row r="9">
      <c r="A9" s="44" t="n"/>
      <c r="B9" s="44" t="n"/>
      <c r="C9" s="44" t="n"/>
      <c r="D9" s="44" t="n"/>
      <c r="E9" s="44" t="n"/>
      <c r="F9" s="44" t="n"/>
      <c r="G9" s="44" t="n"/>
      <c r="H9" s="44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</row>
    <row r="11">
      <c r="A11" s="44" t="n"/>
      <c r="B11" s="44" t="n"/>
      <c r="C11" s="44" t="n"/>
      <c r="D11" s="44" t="n"/>
      <c r="E11" s="44" t="n"/>
      <c r="F11" s="44" t="n"/>
      <c r="G11" s="44" t="n"/>
      <c r="H11" s="44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</row>
    <row r="13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</row>
    <row r="18">
      <c r="A18" s="44" t="n"/>
      <c r="B18" s="44" t="n"/>
      <c r="C18" s="44" t="n"/>
      <c r="D18" s="44" t="n"/>
      <c r="E18" s="44" t="n"/>
      <c r="F18" s="44" t="inlineStr">
        <is>
          <t>Average Electricity Usage by Income Level</t>
        </is>
      </c>
      <c r="G18" s="44" t="n"/>
      <c r="H18" s="44" t="n"/>
    </row>
    <row r="40">
      <c r="I40" s="50" t="inlineStr">
        <is>
          <t>Key Insight</t>
        </is>
      </c>
    </row>
    <row r="41">
      <c r="I41" s="51" t="inlineStr">
        <is>
          <t>The analysis shows the highest average electricity usage among households with 7 appliances (339.05 kWh), while February has the highest monthly average electricity usage (349.17 kWh).</t>
        </is>
      </c>
    </row>
    <row r="42"/>
    <row r="43"/>
    <row r="45">
      <c r="I45" s="50" t="inlineStr">
        <is>
          <t>Recommendations</t>
        </is>
      </c>
    </row>
    <row r="46">
      <c r="I46" s="51" t="inlineStr">
        <is>
          <t>Prioritize efficient appliance usage, regular maintenance, LED lighting, and monthly monitoring—especially for higher-consumption households.</t>
        </is>
      </c>
    </row>
    <row r="47"/>
    <row r="48"/>
  </sheetData>
  <mergeCells count="13">
    <mergeCell ref="E3:H3"/>
    <mergeCell ref="M4:P5"/>
    <mergeCell ref="A1:P1"/>
    <mergeCell ref="I3:L3"/>
    <mergeCell ref="M3:P3"/>
    <mergeCell ref="A3:D3"/>
    <mergeCell ref="A4:D5"/>
    <mergeCell ref="E4:H5"/>
    <mergeCell ref="I4:L5"/>
    <mergeCell ref="I41:P43"/>
    <mergeCell ref="I46:P48"/>
    <mergeCell ref="I45:P45"/>
    <mergeCell ref="I40:P40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Shanmukh Koyya</dc:creator>
  <dcterms:created xmlns:dcterms="http://purl.org/dc/terms/" xmlns:xsi="http://www.w3.org/2001/XMLSchema-instance" xsi:type="dcterms:W3CDTF">2026-09-18T05:45:06Z</dcterms:created>
  <dcterms:modified xmlns:dcterms="http://purl.org/dc/terms/" xmlns:xsi="http://www.w3.org/2001/XMLSchema-instance" xsi:type="dcterms:W3CDTF">2026-09-28T05:23:33Z</dcterms:modified>
  <cp:lastModifiedBy>Shanmukh Koyya</cp:lastModifiedBy>
</cp:coreProperties>
</file>